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osangela\OneDrive\Área de Trabalho\Documentos Rosangela\IA - Santander_Dio.me\Criando um Dashboard de Vendas do Xbox com Excel\"/>
    </mc:Choice>
  </mc:AlternateContent>
  <xr:revisionPtr revIDLastSave="0" documentId="13_ncr:1_{987E0A3D-4869-411E-A0B4-5C525133A027}" xr6:coauthVersionLast="47" xr6:coauthVersionMax="47" xr10:uidLastSave="{00000000-0000-0000-0000-000000000000}"/>
  <bookViews>
    <workbookView xWindow="-120" yWindow="-120" windowWidth="19440" windowHeight="10440" tabRatio="64" xr2:uid="{00000000-000D-0000-FFFF-FFFF00000000}"/>
  </bookViews>
  <sheets>
    <sheet name="Dashboard Vendas_2025" sheetId="1" r:id="rId1"/>
    <sheet name="Recursos Visuais" sheetId="5" r:id="rId2"/>
    <sheet name="Tabelas Dinâmicas" sheetId="2" r:id="rId3"/>
    <sheet name="Base Tratada" sheetId="3" r:id="rId4"/>
  </sheets>
  <definedNames>
    <definedName name="_xlnm._FilterDatabase" localSheetId="3" hidden="1">'Base Tratada'!$A$1:$N$151</definedName>
  </definedNames>
  <calcPr calcId="181029"/>
</workbook>
</file>

<file path=xl/calcChain.xml><?xml version="1.0" encoding="utf-8"?>
<calcChain xmlns="http://schemas.openxmlformats.org/spreadsheetml/2006/main">
  <c r="D16" i="2" l="1"/>
  <c r="I8" i="1" s="1"/>
  <c r="C16" i="2"/>
  <c r="C8" i="1" s="1"/>
  <c r="G8" i="1"/>
  <c r="E8" i="1"/>
  <c r="A8" i="1"/>
</calcChain>
</file>

<file path=xl/sharedStrings.xml><?xml version="1.0" encoding="utf-8"?>
<sst xmlns="http://schemas.openxmlformats.org/spreadsheetml/2006/main" count="1296" uniqueCount="264">
  <si>
    <t>TOTAL DE VENDAS ANUAL</t>
  </si>
  <si>
    <t>UNIDADES VENDIDAS</t>
  </si>
  <si>
    <t>PRODUTO CAMPEÃO</t>
  </si>
  <si>
    <t>LOJA CAMPEÃ DE VENDAS</t>
  </si>
  <si>
    <t>TICKET MÉDIO / ITEM</t>
  </si>
  <si>
    <t>Faturamento Total 2025</t>
  </si>
  <si>
    <t>Volume Total de Peças</t>
  </si>
  <si>
    <t>Lily Eau de Parfum 75ml</t>
  </si>
  <si>
    <t>Localidade: São Paulo - SP</t>
  </si>
  <si>
    <t>Média por Unidade</t>
  </si>
  <si>
    <t>RESUMO E TABELAS DINÂMICAS DE VENDAS</t>
  </si>
  <si>
    <t>Mês</t>
  </si>
  <si>
    <t>Nome Mês</t>
  </si>
  <si>
    <t>Quantidade</t>
  </si>
  <si>
    <t>Valor Total (R$)</t>
  </si>
  <si>
    <t>Categoria</t>
  </si>
  <si>
    <t>Perfumes</t>
  </si>
  <si>
    <t>Cremes</t>
  </si>
  <si>
    <t>Maquiagens</t>
  </si>
  <si>
    <t>Total</t>
  </si>
  <si>
    <t>Ranking de Produtos</t>
  </si>
  <si>
    <t>Loja</t>
  </si>
  <si>
    <t>Localidade</t>
  </si>
  <si>
    <t>Loja Shopping Ibira</t>
  </si>
  <si>
    <t>São Paulo - SP</t>
  </si>
  <si>
    <t>Zaad Santal Eau de Parfum 95ml</t>
  </si>
  <si>
    <t>Loja Barra Shopping</t>
  </si>
  <si>
    <t>Rio de Janeiro - RJ</t>
  </si>
  <si>
    <t>Arbo Desodorante Colônia 100ml</t>
  </si>
  <si>
    <t>Loja Centro SP</t>
  </si>
  <si>
    <t>Make B. Paleta de Sombras 12 Cores</t>
  </si>
  <si>
    <t>Loja Moinhos</t>
  </si>
  <si>
    <t>Porto Alegre - RS</t>
  </si>
  <si>
    <t>Floratta Red Desodorante Colônia 75ml</t>
  </si>
  <si>
    <t>Loja Shopping Recife</t>
  </si>
  <si>
    <t>Recife - PE</t>
  </si>
  <si>
    <t>Botik Ácido Hialurônico Creme Nutritivo 50g</t>
  </si>
  <si>
    <t>Loja Batel</t>
  </si>
  <si>
    <t>Curitiba - PR</t>
  </si>
  <si>
    <t>Malbec Desodorante Colônia 100ml</t>
  </si>
  <si>
    <t>Loja Salvador Shopping</t>
  </si>
  <si>
    <t>Salvador - BA</t>
  </si>
  <si>
    <t>Make B. Base Líquida Retinol HT 26g</t>
  </si>
  <si>
    <t>Loja Savassi</t>
  </si>
  <si>
    <t>Belo Horizonte - MG</t>
  </si>
  <si>
    <t>Creme Acetinado Hidratante Lily 250g</t>
  </si>
  <si>
    <t>Nativa SPA Ameixa Creme Hidratante 400ml</t>
  </si>
  <si>
    <t>Cuide-se Bem Nuvem Loção Corporal 400ml</t>
  </si>
  <si>
    <t>Egeo Dolce Desodorante Colônia 90ml</t>
  </si>
  <si>
    <t>Intense Pó Compacto Facial</t>
  </si>
  <si>
    <t>Nativa SPA Morango Ruby Loção 200ml</t>
  </si>
  <si>
    <t>Intense Máscara de Cílios Boom!</t>
  </si>
  <si>
    <t>Make B. Batom Cremoso Mate Hyaluronic</t>
  </si>
  <si>
    <t>ID Venda</t>
  </si>
  <si>
    <t>Data Venda</t>
  </si>
  <si>
    <t>Código Produto</t>
  </si>
  <si>
    <t>Nome do Produto</t>
  </si>
  <si>
    <t>Valor Unitário (R$)</t>
  </si>
  <si>
    <t>Cidade</t>
  </si>
  <si>
    <t>Estado</t>
  </si>
  <si>
    <t>Ano</t>
  </si>
  <si>
    <t>Mês_Num</t>
  </si>
  <si>
    <t>Mês_Nome</t>
  </si>
  <si>
    <t>VEN-0145</t>
  </si>
  <si>
    <t>BOT-PER-006</t>
  </si>
  <si>
    <t>São Paulo</t>
  </si>
  <si>
    <t>SP</t>
  </si>
  <si>
    <t>VEN-0088</t>
  </si>
  <si>
    <t>BOT-MAQ-004</t>
  </si>
  <si>
    <t>VEN-0150</t>
  </si>
  <si>
    <t>BOT-CRE-001</t>
  </si>
  <si>
    <t>VEN-0040</t>
  </si>
  <si>
    <t>BOT-PER-004</t>
  </si>
  <si>
    <t>Porto Alegre</t>
  </si>
  <si>
    <t>RS</t>
  </si>
  <si>
    <t>VEN-0045</t>
  </si>
  <si>
    <t>Rio de Janeiro</t>
  </si>
  <si>
    <t>RJ</t>
  </si>
  <si>
    <t>VEN-0149</t>
  </si>
  <si>
    <t>VEN-0059</t>
  </si>
  <si>
    <t>BOT-MAQ-005</t>
  </si>
  <si>
    <t>Salvador</t>
  </si>
  <si>
    <t>BA</t>
  </si>
  <si>
    <t>VEN-0105</t>
  </si>
  <si>
    <t>BOT-CRE-003</t>
  </si>
  <si>
    <t>Curitiba</t>
  </si>
  <si>
    <t>PR</t>
  </si>
  <si>
    <t>VEN-0118</t>
  </si>
  <si>
    <t>Belo Horizonte</t>
  </si>
  <si>
    <t>MG</t>
  </si>
  <si>
    <t>VEN-0006</t>
  </si>
  <si>
    <t>BOT-PER-001</t>
  </si>
  <si>
    <t>VEN-0119</t>
  </si>
  <si>
    <t>VEN-0063</t>
  </si>
  <si>
    <t>BOT-MAQ-003</t>
  </si>
  <si>
    <t>VEN-0048</t>
  </si>
  <si>
    <t>Recife</t>
  </si>
  <si>
    <t>PE</t>
  </si>
  <si>
    <t>VEN-0050</t>
  </si>
  <si>
    <t>BOT-CRE-005</t>
  </si>
  <si>
    <t>VEN-0080</t>
  </si>
  <si>
    <t>VEN-0084</t>
  </si>
  <si>
    <t>BOT-MAQ-001</t>
  </si>
  <si>
    <t>VEN-0111</t>
  </si>
  <si>
    <t>VEN-0051</t>
  </si>
  <si>
    <t>VEN-0123</t>
  </si>
  <si>
    <t>BOT-MAQ-002</t>
  </si>
  <si>
    <t>VEN-0058</t>
  </si>
  <si>
    <t>BOT-PER-005</t>
  </si>
  <si>
    <t>VEN-0070</t>
  </si>
  <si>
    <t>VEN-0107</t>
  </si>
  <si>
    <t>BOT-PER-002</t>
  </si>
  <si>
    <t>VEN-0098</t>
  </si>
  <si>
    <t>VEN-0071</t>
  </si>
  <si>
    <t>VEN-0130</t>
  </si>
  <si>
    <t>VEN-0076</t>
  </si>
  <si>
    <t>VEN-0039</t>
  </si>
  <si>
    <t>VEN-0131</t>
  </si>
  <si>
    <t>VEN-0060</t>
  </si>
  <si>
    <t>VEN-0113</t>
  </si>
  <si>
    <t>VEN-0007</t>
  </si>
  <si>
    <t>VEN-0096</t>
  </si>
  <si>
    <t>VEN-0091</t>
  </si>
  <si>
    <t>VEN-0026</t>
  </si>
  <si>
    <t>VEN-0074</t>
  </si>
  <si>
    <t>VEN-0023</t>
  </si>
  <si>
    <t>VEN-0005</t>
  </si>
  <si>
    <t>VEN-0147</t>
  </si>
  <si>
    <t>VEN-0041</t>
  </si>
  <si>
    <t>VEN-0120</t>
  </si>
  <si>
    <t>BOT-PER-003</t>
  </si>
  <si>
    <t>VEN-0138</t>
  </si>
  <si>
    <t>VEN-0010</t>
  </si>
  <si>
    <t>VEN-0104</t>
  </si>
  <si>
    <t>VEN-0101</t>
  </si>
  <si>
    <t>VEN-0108</t>
  </si>
  <si>
    <t>BOT-CRE-004</t>
  </si>
  <si>
    <t>VEN-0044</t>
  </si>
  <si>
    <t>VEN-0012</t>
  </si>
  <si>
    <t>VEN-0043</t>
  </si>
  <si>
    <t>VEN-0103</t>
  </si>
  <si>
    <t>BOT-CRE-002</t>
  </si>
  <si>
    <t>VEN-0066</t>
  </si>
  <si>
    <t>VEN-0054</t>
  </si>
  <si>
    <t>VEN-0067</t>
  </si>
  <si>
    <t>VEN-0081</t>
  </si>
  <si>
    <t>VEN-0077</t>
  </si>
  <si>
    <t>VEN-0034</t>
  </si>
  <si>
    <t>VEN-0102</t>
  </si>
  <si>
    <t>VEN-0100</t>
  </si>
  <si>
    <t>VEN-0087</t>
  </si>
  <si>
    <t>VEN-0027</t>
  </si>
  <si>
    <t>VEN-0031</t>
  </si>
  <si>
    <t>VEN-0094</t>
  </si>
  <si>
    <t>VEN-0132</t>
  </si>
  <si>
    <t>VEN-0033</t>
  </si>
  <si>
    <t>VEN-0015</t>
  </si>
  <si>
    <t>VEN-0017</t>
  </si>
  <si>
    <t>VEN-0035</t>
  </si>
  <si>
    <t>VEN-0037</t>
  </si>
  <si>
    <t>VEN-0134</t>
  </si>
  <si>
    <t>VEN-0052</t>
  </si>
  <si>
    <t>VEN-0114</t>
  </si>
  <si>
    <t>VEN-0068</t>
  </si>
  <si>
    <t>VEN-0141</t>
  </si>
  <si>
    <t>VEN-0028</t>
  </si>
  <si>
    <t>VEN-0057</t>
  </si>
  <si>
    <t>VEN-0146</t>
  </si>
  <si>
    <t>VEN-0127</t>
  </si>
  <si>
    <t>VEN-0083</t>
  </si>
  <si>
    <t>VEN-0095</t>
  </si>
  <si>
    <t>VEN-0004</t>
  </si>
  <si>
    <t>VEN-0124</t>
  </si>
  <si>
    <t>VEN-0061</t>
  </si>
  <si>
    <t>VEN-0115</t>
  </si>
  <si>
    <t>VEN-0047</t>
  </si>
  <si>
    <t>VEN-0126</t>
  </si>
  <si>
    <t>VEN-0128</t>
  </si>
  <si>
    <t>VEN-0137</t>
  </si>
  <si>
    <t>VEN-0079</t>
  </si>
  <si>
    <t>VEN-0097</t>
  </si>
  <si>
    <t>VEN-0109</t>
  </si>
  <si>
    <t>VEN-0008</t>
  </si>
  <si>
    <t>VEN-0122</t>
  </si>
  <si>
    <t>VEN-0121</t>
  </si>
  <si>
    <t>VEN-0140</t>
  </si>
  <si>
    <t>VEN-0110</t>
  </si>
  <si>
    <t>VEN-0099</t>
  </si>
  <si>
    <t>VEN-0022</t>
  </si>
  <si>
    <t>VEN-0082</t>
  </si>
  <si>
    <t>VEN-0025</t>
  </si>
  <si>
    <t>VEN-0030</t>
  </si>
  <si>
    <t>VEN-0143</t>
  </si>
  <si>
    <t>VEN-0021</t>
  </si>
  <si>
    <t>VEN-0065</t>
  </si>
  <si>
    <t>VEN-0032</t>
  </si>
  <si>
    <t>VEN-0148</t>
  </si>
  <si>
    <t>VEN-0135</t>
  </si>
  <si>
    <t>VEN-0002</t>
  </si>
  <si>
    <t>VEN-0013</t>
  </si>
  <si>
    <t>VEN-0090</t>
  </si>
  <si>
    <t>VEN-0125</t>
  </si>
  <si>
    <t>VEN-0016</t>
  </si>
  <si>
    <t>VEN-0049</t>
  </si>
  <si>
    <t>VEN-0009</t>
  </si>
  <si>
    <t>VEN-0072</t>
  </si>
  <si>
    <t>VEN-0011</t>
  </si>
  <si>
    <t>VEN-0001</t>
  </si>
  <si>
    <t>VEN-0018</t>
  </si>
  <si>
    <t>VEN-0019</t>
  </si>
  <si>
    <t>VEN-0003</t>
  </si>
  <si>
    <t>VEN-0075</t>
  </si>
  <si>
    <t>VEN-0133</t>
  </si>
  <si>
    <t>VEN-0144</t>
  </si>
  <si>
    <t>VEN-0089</t>
  </si>
  <si>
    <t>VEN-0036</t>
  </si>
  <si>
    <t>VEN-0029</t>
  </si>
  <si>
    <t>VEN-0117</t>
  </si>
  <si>
    <t>VEN-0136</t>
  </si>
  <si>
    <t>VEN-0142</t>
  </si>
  <si>
    <t>VEN-0139</t>
  </si>
  <si>
    <t>VEN-0020</t>
  </si>
  <si>
    <t>VEN-0085</t>
  </si>
  <si>
    <t>VEN-0024</t>
  </si>
  <si>
    <t>VEN-0069</t>
  </si>
  <si>
    <t>VEN-0042</t>
  </si>
  <si>
    <t>VEN-0078</t>
  </si>
  <si>
    <t>VEN-0093</t>
  </si>
  <si>
    <t>VEN-0106</t>
  </si>
  <si>
    <t>VEN-0086</t>
  </si>
  <si>
    <t>VEN-0064</t>
  </si>
  <si>
    <t>VEN-0038</t>
  </si>
  <si>
    <t>VEN-0056</t>
  </si>
  <si>
    <t>VEN-0046</t>
  </si>
  <si>
    <t>VEN-0055</t>
  </si>
  <si>
    <t>VEN-0073</t>
  </si>
  <si>
    <t>VEN-0053</t>
  </si>
  <si>
    <t>VEN-0112</t>
  </si>
  <si>
    <t>VEN-0062</t>
  </si>
  <si>
    <t>VEN-0129</t>
  </si>
  <si>
    <t>VEN-0014</t>
  </si>
  <si>
    <t>VEN-0116</t>
  </si>
  <si>
    <t>VEN-0092</t>
  </si>
  <si>
    <t xml:space="preserve">Janeiro 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</si>
  <si>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</si>
  <si>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</si>
  <si>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</si>
  <si>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</si>
  <si>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</si>
  <si>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</si>
  <si>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</si>
  <si>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</si>
  <si>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</si>
  <si>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</si>
  <si>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</si>
  <si>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1. Paleta de Cores</t>
  </si>
  <si>
    <t>2. Logo e desenhhos</t>
  </si>
  <si>
    <t>#007E78</t>
  </si>
  <si>
    <t>#6FA286</t>
  </si>
  <si>
    <t>#93DA49</t>
  </si>
  <si>
    <t>#009F67</t>
  </si>
  <si>
    <t>DASHBOARD DE VENDAS  2025</t>
  </si>
  <si>
    <t>#53CE62</t>
  </si>
  <si>
    <r>
      <t xml:space="preserve">CLIQUE NA ÁREA DO GRÁFICO PARA ATIVAR OS FILTROS                                                                                                              </t>
    </r>
    <r>
      <rPr>
        <sz val="9"/>
        <color rgb="FF6FA286"/>
        <rFont val="Calibri"/>
        <family val="2"/>
        <scheme val="minor"/>
      </rPr>
      <t>Período de referência 01/01/2025 a 31/12/2025  -  Última alteração em  08/10/2026    12:11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</si>
</sst>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R\$\ #,##0.00"/>
  </numFmts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Calibri"/>
    </font>
    <font>
      <b/>
      <sz val="11"/>
      <name val="Calibri"/>
    </font>
    <font>
      <b/>
      <sz val="15"/>
      <color theme="3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9"/>
      <color rgb="FF6FA286"/>
      <name val="Calibri"/>
      <family val="2"/>
    </font>
    <font>
      <sz val="9"/>
      <color rgb="FF6FA286"/>
      <name val="Calibri"/>
      <family val="2"/>
      <scheme val="minor"/>
    </font>
    <font>
      <i/>
      <sz val="9"/>
      <color rgb="FF007E78"/>
      <name val="Calibri"/>
      <family val="2"/>
    </font>
    <font>
      <sz val="9"/>
      <color rgb="FF007E78"/>
      <name val="Calibri"/>
      <family val="2"/>
      <scheme val="minor"/>
    </font>
    <font>
      <sz val="9"/>
      <color rgb="FFC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A3B2A"/>
        <bgColor rgb="FF0A3B2A"/>
      </patternFill>
    </fill>
    <fill>
      <patternFill patternType="solid">
        <fgColor rgb="FF004B32"/>
        <bgColor rgb="FF004B32"/>
      </patternFill>
    </fill>
    <fill>
      <patternFill patternType="solid">
        <fgColor rgb="FF007E78"/>
        <bgColor indexed="64"/>
      </patternFill>
    </fill>
    <fill>
      <patternFill patternType="solid">
        <fgColor rgb="FF6FA286"/>
        <bgColor indexed="64"/>
      </patternFill>
    </fill>
    <fill>
      <patternFill patternType="solid">
        <fgColor rgb="FF93DA49"/>
        <bgColor indexed="64"/>
      </patternFill>
    </fill>
    <fill>
      <patternFill patternType="solid">
        <fgColor rgb="FF009F67"/>
        <bgColor indexed="64"/>
      </patternFill>
    </fill>
    <fill>
      <patternFill patternType="solid">
        <fgColor rgb="FF93DA49"/>
        <bgColor rgb="FF004B32"/>
      </patternFill>
    </fill>
    <fill>
      <patternFill patternType="solid">
        <fgColor rgb="FF53CE62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6" tint="0.79998168889431442"/>
        <bgColor rgb="FFF4F9F5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theme="6" tint="0.39994506668294322"/>
      </top>
      <bottom/>
      <diagonal/>
    </border>
    <border>
      <left style="medium">
        <color theme="6" tint="0.39994506668294322"/>
      </left>
      <right style="medium">
        <color theme="6" tint="0.39994506668294322"/>
      </right>
      <top/>
      <bottom/>
      <diagonal/>
    </border>
    <border>
      <left style="medium">
        <color theme="6" tint="0.39994506668294322"/>
      </left>
      <right style="medium">
        <color theme="6" tint="0.39994506668294322"/>
      </right>
      <top/>
      <bottom style="medium">
        <color theme="6" tint="0.39994506668294322"/>
      </bottom>
      <diagonal/>
    </border>
    <border>
      <left style="medium">
        <color rgb="FF93DA49"/>
      </left>
      <right/>
      <top style="medium">
        <color rgb="FF93DA49"/>
      </top>
      <bottom/>
      <diagonal/>
    </border>
    <border>
      <left/>
      <right/>
      <top style="medium">
        <color rgb="FF93DA49"/>
      </top>
      <bottom/>
      <diagonal/>
    </border>
    <border>
      <left/>
      <right style="medium">
        <color rgb="FF93DA49"/>
      </right>
      <top style="medium">
        <color rgb="FF93DA49"/>
      </top>
      <bottom/>
      <diagonal/>
    </border>
    <border>
      <left style="medium">
        <color rgb="FF93DA49"/>
      </left>
      <right/>
      <top/>
      <bottom/>
      <diagonal/>
    </border>
    <border>
      <left/>
      <right style="medium">
        <color rgb="FF93DA49"/>
      </right>
      <top/>
      <bottom/>
      <diagonal/>
    </border>
    <border>
      <left style="medium">
        <color rgb="FF93DA49"/>
      </left>
      <right/>
      <top/>
      <bottom style="medium">
        <color rgb="FF93DA49"/>
      </bottom>
      <diagonal/>
    </border>
    <border>
      <left/>
      <right/>
      <top/>
      <bottom style="medium">
        <color rgb="FF93DA49"/>
      </bottom>
      <diagonal/>
    </border>
    <border>
      <left/>
      <right style="medium">
        <color rgb="FF93DA49"/>
      </right>
      <top/>
      <bottom style="medium">
        <color rgb="FF93DA49"/>
      </bottom>
      <diagonal/>
    </border>
    <border>
      <left/>
      <right/>
      <top style="medium">
        <color theme="6" tint="0.39994506668294322"/>
      </top>
      <bottom/>
      <diagonal/>
    </border>
  </borders>
  <cellStyleXfs count="2">
    <xf numFmtId="0" fontId="0" fillId="0" borderId="0"/>
    <xf numFmtId="0" fontId="4" fillId="0" borderId="1" applyNumberFormat="0" applyFill="0" applyAlignment="0" applyProtection="0"/>
  </cellStyleXfs>
  <cellXfs count="4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3" fontId="0" fillId="0" borderId="0" xfId="0" applyNumberFormat="1"/>
    <xf numFmtId="165" fontId="0" fillId="0" borderId="0" xfId="0" applyNumberFormat="1"/>
    <xf numFmtId="0" fontId="3" fillId="0" borderId="0" xfId="0" applyFont="1"/>
    <xf numFmtId="3" fontId="3" fillId="0" borderId="0" xfId="0" applyNumberFormat="1" applyFont="1"/>
    <xf numFmtId="165" fontId="3" fillId="0" borderId="0" xfId="0" applyNumberFormat="1" applyFont="1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49" fontId="0" fillId="0" borderId="0" xfId="0" applyNumberFormat="1"/>
    <xf numFmtId="16" fontId="0" fillId="0" borderId="0" xfId="0" applyNumberFormat="1" applyAlignment="1">
      <alignment horizontal="left"/>
    </xf>
    <xf numFmtId="0" fontId="6" fillId="0" borderId="0" xfId="0" applyFont="1"/>
    <xf numFmtId="0" fontId="4" fillId="0" borderId="0" xfId="1" applyBorder="1" applyAlignme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9" borderId="0" xfId="0" applyFill="1"/>
    <xf numFmtId="0" fontId="0" fillId="10" borderId="0" xfId="0" applyFill="1"/>
    <xf numFmtId="0" fontId="0" fillId="12" borderId="0" xfId="0" applyFill="1"/>
    <xf numFmtId="0" fontId="11" fillId="0" borderId="0" xfId="0" applyFont="1"/>
    <xf numFmtId="0" fontId="7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2" fillId="10" borderId="13" xfId="0" applyFont="1" applyFill="1" applyBorder="1" applyAlignment="1">
      <alignment horizontal="left"/>
    </xf>
    <xf numFmtId="0" fontId="8" fillId="11" borderId="3" xfId="0" applyFont="1" applyFill="1" applyBorder="1" applyAlignment="1">
      <alignment horizontal="center" vertical="center"/>
    </xf>
    <xf numFmtId="0" fontId="9" fillId="11" borderId="3" xfId="0" applyFont="1" applyFill="1" applyBorder="1"/>
    <xf numFmtId="3" fontId="8" fillId="11" borderId="3" xfId="0" applyNumberFormat="1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11" fillId="11" borderId="4" xfId="0" applyFont="1" applyFill="1" applyBorder="1"/>
    <xf numFmtId="165" fontId="8" fillId="11" borderId="3" xfId="0" applyNumberFormat="1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9" fillId="11" borderId="2" xfId="0" applyFont="1" applyFill="1" applyBorder="1"/>
    <xf numFmtId="0" fontId="4" fillId="0" borderId="0" xfId="1" applyBorder="1" applyAlignment="1">
      <alignment horizontal="left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2">
    <cellStyle name="Normal" xfId="0" builtinId="0"/>
    <cellStyle name="Título 1" xfId="1" builtinId="16"/>
  </cellStyles>
  <dxfs count="5">
    <dxf>
      <numFmt numFmtId="165" formatCode="\R\$\ #,##0.00"/>
    </dxf>
    <dxf>
      <numFmt numFmtId="165" formatCode="\R\$\ #,##0.00"/>
    </dxf>
    <dxf>
      <numFmt numFmtId="3" formatCode="#,##0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A3B2A"/>
          <bgColor rgb="FF0A3B2A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colors>
    <mruColors>
      <color rgb="FF6FA286"/>
      <color rgb="FFF8F8F8"/>
      <color rgb="FF93DA49"/>
      <color rgb="FF007E78"/>
      <color rgb="FF000000"/>
      <color rgb="FFF3F3F3"/>
      <color rgb="FFDBDBDB"/>
      <color rgb="FF60D868"/>
      <color rgb="FF53CE59"/>
      <color rgb="FF53CE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>
                <a:solidFill>
                  <a:srgbClr val="6FA286"/>
                </a:solidFill>
              </a:defRPr>
            </a:pPr>
            <a:r>
              <a:rPr lang="pt-BR">
                <a:solidFill>
                  <a:srgbClr val="6FA286"/>
                </a:solidFill>
              </a:rPr>
              <a:t>Evolução Mensal de Vendas (2025)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'Tabelas Dinâmicas'!$D$3</c:f>
              <c:strCache>
                <c:ptCount val="1"/>
                <c:pt idx="0">
                  <c:v>Valor Total (R$)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'Tabelas Dinâmicas'!$B$4:$B$15</c:f>
              <c:strCache>
                <c:ptCount val="12"/>
                <c:pt idx="0">
                  <c:v>Janeiro 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'Tabelas Dinâmicas'!$D$4:$D$15</c:f>
              <c:numCache>
                <c:formatCode>\R\$\ #,##0.00</c:formatCode>
                <c:ptCount val="12"/>
                <c:pt idx="0">
                  <c:v>47435400</c:v>
                </c:pt>
                <c:pt idx="1">
                  <c:v>15963000</c:v>
                </c:pt>
                <c:pt idx="2">
                  <c:v>91822019.900000006</c:v>
                </c:pt>
                <c:pt idx="3">
                  <c:v>129083087.09999999</c:v>
                </c:pt>
                <c:pt idx="4">
                  <c:v>98569357</c:v>
                </c:pt>
                <c:pt idx="5">
                  <c:v>151500905.90000001</c:v>
                </c:pt>
                <c:pt idx="6">
                  <c:v>86718124.799999997</c:v>
                </c:pt>
                <c:pt idx="7">
                  <c:v>130393958.7</c:v>
                </c:pt>
                <c:pt idx="8">
                  <c:v>130936407.7</c:v>
                </c:pt>
                <c:pt idx="9">
                  <c:v>84879105.700000003</c:v>
                </c:pt>
                <c:pt idx="10">
                  <c:v>234935216.30000001</c:v>
                </c:pt>
                <c:pt idx="11">
                  <c:v>101926470.40000001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21-4544-97ED-F47573E37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Faturamento (R$)</a:t>
                </a:r>
              </a:p>
            </c:rich>
          </c:tx>
          <c:overlay val="0"/>
        </c:title>
        <c:numFmt formatCode="\R\$\ #,##0.0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</c:spPr>
    </c:plotArea>
    <c:legend>
      <c:legendPos val="r"/>
      <c:overlay val="0"/>
    </c:legend>
    <c:plotVisOnly val="1"/>
    <c:dispBlanksAs val="gap"/>
    <c:showDLblsOverMax val="0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>
                <a:solidFill>
                  <a:srgbClr val="6FA286"/>
                </a:solidFill>
              </a:defRPr>
            </a:pPr>
            <a:r>
              <a:rPr lang="pt-BR">
                <a:solidFill>
                  <a:srgbClr val="6FA286"/>
                </a:solidFill>
              </a:rPr>
              <a:t>Vendas por Categoria de Produto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'Tabelas Dinâmicas'!$H$3</c:f>
              <c:strCache>
                <c:ptCount val="1"/>
                <c:pt idx="0">
                  <c:v>Valor Total (R$)</c:v>
                </c:pt>
              </c:strCache>
            </c:strRef>
          </c:tx>
          <c:spPr>
            <a:solidFill>
              <a:srgbClr val="93DA49"/>
            </a:solidFill>
            <a:ln>
              <a:prstDash val="solid"/>
            </a:ln>
          </c:spPr>
          <c:invertIfNegative val="0"/>
          <c:cat>
            <c:strRef>
              <c:f>'Tabelas Dinâmicas'!$F$4:$F$7</c:f>
              <c:strCache>
                <c:ptCount val="3"/>
                <c:pt idx="0">
                  <c:v>Perfumes</c:v>
                </c:pt>
                <c:pt idx="1">
                  <c:v>Cremes</c:v>
                </c:pt>
                <c:pt idx="2">
                  <c:v>Maquiagens</c:v>
                </c:pt>
              </c:strCache>
            </c:strRef>
          </c:cat>
          <c:val>
            <c:numRef>
              <c:f>'Tabelas Dinâmicas'!$H$4:$H$7</c:f>
              <c:numCache>
                <c:formatCode>\R\$\ #,##0.00</c:formatCode>
                <c:ptCount val="4"/>
                <c:pt idx="0">
                  <c:v>728891884</c:v>
                </c:pt>
                <c:pt idx="1">
                  <c:v>302764643.10000002</c:v>
                </c:pt>
                <c:pt idx="2">
                  <c:v>272506526.39999998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B5-42DB-98AA-5145D0057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Categoria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Faturamento (R$)</a:t>
                </a:r>
              </a:p>
            </c:rich>
          </c:tx>
          <c:overlay val="0"/>
        </c:title>
        <c:numFmt formatCode="\R\$\ #,##0.0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</c:spPr>
    </c:plotArea>
    <c:legend>
      <c:legendPos val="r"/>
      <c:overlay val="0"/>
    </c:legend>
    <c:plotVisOnly val="1"/>
    <c:dispBlanksAs val="gap"/>
    <c:showDLblsOverMax val="0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>
                <a:solidFill>
                  <a:srgbClr val="000000"/>
                </a:solidFill>
              </a:defRPr>
            </a:pPr>
            <a:r>
              <a:rPr lang="pt-BR">
                <a:solidFill>
                  <a:srgbClr val="6FA286"/>
                </a:solidFill>
              </a:rPr>
              <a:t>Top Produtos por Faturamento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'Tabelas Dinâmicas'!$C$18</c:f>
              <c:strCache>
                <c:ptCount val="1"/>
                <c:pt idx="0">
                  <c:v>Valor Total (R$)</c:v>
                </c:pt>
              </c:strCache>
            </c:strRef>
          </c:tx>
          <c:spPr>
            <a:solidFill>
              <a:srgbClr val="92D050"/>
            </a:solidFill>
            <a:ln>
              <a:prstDash val="solid"/>
            </a:ln>
          </c:spPr>
          <c:invertIfNegative val="0"/>
          <c:cat>
            <c:strRef>
              <c:f>'Tabelas Dinâmicas'!$A$19:$A$28</c:f>
              <c:strCache>
                <c:ptCount val="10"/>
                <c:pt idx="0">
                  <c:v>Lily Eau de Parfum 75ml</c:v>
                </c:pt>
                <c:pt idx="1">
                  <c:v>Zaad Santal Eau de Parfum 95ml</c:v>
                </c:pt>
                <c:pt idx="2">
                  <c:v>Arbo Desodorante Colônia 100ml</c:v>
                </c:pt>
                <c:pt idx="3">
                  <c:v>Make B. Paleta de Sombras 12 Cores</c:v>
                </c:pt>
                <c:pt idx="4">
                  <c:v>Floratta Red Desodorante Colônia 75ml</c:v>
                </c:pt>
                <c:pt idx="5">
                  <c:v>Botik Ácido Hialurônico Creme Nutritivo 50g</c:v>
                </c:pt>
                <c:pt idx="6">
                  <c:v>Malbec Desodorante Colônia 100ml</c:v>
                </c:pt>
                <c:pt idx="7">
                  <c:v>Make B. Base Líquida Retinol HT 26g</c:v>
                </c:pt>
                <c:pt idx="8">
                  <c:v>Creme Acetinado Hidratante Lily 250g</c:v>
                </c:pt>
                <c:pt idx="9">
                  <c:v>Nativa SPA Ameixa Creme Hidratante 400ml</c:v>
                </c:pt>
              </c:strCache>
            </c:strRef>
          </c:cat>
          <c:val>
            <c:numRef>
              <c:f>'Tabelas Dinâmicas'!$C$19:$C$28</c:f>
              <c:numCache>
                <c:formatCode>\R\$\ #,##0.00</c:formatCode>
                <c:ptCount val="10"/>
                <c:pt idx="0">
                  <c:v>204447188.40000001</c:v>
                </c:pt>
                <c:pt idx="1">
                  <c:v>154806889.90000001</c:v>
                </c:pt>
                <c:pt idx="2">
                  <c:v>130180954.8</c:v>
                </c:pt>
                <c:pt idx="3">
                  <c:v>118687522.2</c:v>
                </c:pt>
                <c:pt idx="4">
                  <c:v>111973800</c:v>
                </c:pt>
                <c:pt idx="5">
                  <c:v>105175999.09999999</c:v>
                </c:pt>
                <c:pt idx="6">
                  <c:v>87051811</c:v>
                </c:pt>
                <c:pt idx="7">
                  <c:v>82671246</c:v>
                </c:pt>
                <c:pt idx="8">
                  <c:v>70061886.400000006</c:v>
                </c:pt>
                <c:pt idx="9">
                  <c:v>60827263.700000003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B-4BDD-AC36-1AC2F1036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Faturamento (R$)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Produto</a:t>
                </a:r>
              </a:p>
            </c:rich>
          </c:tx>
          <c:overlay val="0"/>
        </c:title>
        <c:numFmt formatCode="\R\$\ #,##0.0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</c:spPr>
    </c:plotArea>
    <c:legend>
      <c:legendPos val="r"/>
      <c:overlay val="0"/>
    </c:legend>
    <c:plotVisOnly val="1"/>
    <c:dispBlanksAs val="gap"/>
    <c:showDLblsOverMax val="0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>
                <a:solidFill>
                  <a:srgbClr val="6FA286"/>
                </a:solidFill>
              </a:rPr>
              <a:t>Vendas por Loja e Localidade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'Tabelas Dinâmicas'!$I$18</c:f>
              <c:strCache>
                <c:ptCount val="1"/>
                <c:pt idx="0">
                  <c:v>Valor Total (R$)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prstDash val="solid"/>
            </a:ln>
          </c:spPr>
          <c:invertIfNegative val="0"/>
          <c:cat>
            <c:strRef>
              <c:f>'Tabelas Dinâmicas'!$F$19:$F$28</c:f>
              <c:strCache>
                <c:ptCount val="8"/>
                <c:pt idx="0">
                  <c:v>Loja Shopping Ibira</c:v>
                </c:pt>
                <c:pt idx="1">
                  <c:v>Loja Barra Shopping</c:v>
                </c:pt>
                <c:pt idx="2">
                  <c:v>Loja Centro SP</c:v>
                </c:pt>
                <c:pt idx="3">
                  <c:v>Loja Moinhos</c:v>
                </c:pt>
                <c:pt idx="4">
                  <c:v>Loja Shopping Recife</c:v>
                </c:pt>
                <c:pt idx="5">
                  <c:v>Loja Batel</c:v>
                </c:pt>
                <c:pt idx="6">
                  <c:v>Loja Salvador Shopping</c:v>
                </c:pt>
                <c:pt idx="7">
                  <c:v>Loja Savassi</c:v>
                </c:pt>
              </c:strCache>
            </c:strRef>
          </c:cat>
          <c:val>
            <c:numRef>
              <c:f>'Tabelas Dinâmicas'!$I$19:$I$28</c:f>
              <c:numCache>
                <c:formatCode>\R\$\ #,##0.00</c:formatCode>
                <c:ptCount val="10"/>
                <c:pt idx="0">
                  <c:v>249772200.5</c:v>
                </c:pt>
                <c:pt idx="1">
                  <c:v>210897385.09999999</c:v>
                </c:pt>
                <c:pt idx="2">
                  <c:v>177471564.69999999</c:v>
                </c:pt>
                <c:pt idx="3">
                  <c:v>150649712.19999999</c:v>
                </c:pt>
                <c:pt idx="4">
                  <c:v>146167078.59999999</c:v>
                </c:pt>
                <c:pt idx="5">
                  <c:v>140891061</c:v>
                </c:pt>
                <c:pt idx="6">
                  <c:v>125944901.7</c:v>
                </c:pt>
                <c:pt idx="7">
                  <c:v>102369149.7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51-4933-BCBE-374D2E92B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Faturamento (R$)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Loja</a:t>
                </a:r>
              </a:p>
            </c:rich>
          </c:tx>
          <c:overlay val="0"/>
        </c:title>
        <c:numFmt formatCode="\R\$\ #,##0.0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</c:spPr>
    </c:plotArea>
    <c:legend>
      <c:legendPos val="r"/>
      <c:overlay val="0"/>
    </c:legend>
    <c:plotVisOnly val="1"/>
    <c:dispBlanksAs val="gap"/>
    <c:showDLblsOverMax val="0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07/relationships/hdphoto" Target="../media/hdphoto1.wdp"/><Relationship Id="rId11" Type="http://schemas.openxmlformats.org/officeDocument/2006/relationships/image" Target="../media/image5.jpeg"/><Relationship Id="rId5" Type="http://schemas.openxmlformats.org/officeDocument/2006/relationships/image" Target="../media/image1.png"/><Relationship Id="rId10" Type="http://schemas.openxmlformats.org/officeDocument/2006/relationships/image" Target="../media/image4.jpeg"/><Relationship Id="rId4" Type="http://schemas.openxmlformats.org/officeDocument/2006/relationships/chart" Target="../charts/chart4.xml"/><Relationship Id="rId9" Type="http://schemas.microsoft.com/office/2007/relationships/hdphoto" Target="../media/hdphoto2.wdp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image" Target="../media/image6.png"/><Relationship Id="rId7" Type="http://schemas.openxmlformats.org/officeDocument/2006/relationships/image" Target="../media/image9.png"/><Relationship Id="rId2" Type="http://schemas.microsoft.com/office/2007/relationships/hdphoto" Target="../media/hdphoto2.wdp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microsoft.com/office/2007/relationships/hdphoto" Target="../media/hdphoto3.wd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11</xdr:row>
      <xdr:rowOff>38101</xdr:rowOff>
    </xdr:from>
    <xdr:ext cx="4905375" cy="28856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333375</xdr:colOff>
      <xdr:row>10</xdr:row>
      <xdr:rowOff>190499</xdr:rowOff>
    </xdr:from>
    <xdr:ext cx="4895850" cy="28860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57150</xdr:colOff>
      <xdr:row>28</xdr:row>
      <xdr:rowOff>161925</xdr:rowOff>
    </xdr:from>
    <xdr:ext cx="4895850" cy="28956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352424</xdr:colOff>
      <xdr:row>27</xdr:row>
      <xdr:rowOff>161925</xdr:rowOff>
    </xdr:from>
    <xdr:ext cx="4886325" cy="287655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twoCellAnchor editAs="oneCell">
    <xdr:from>
      <xdr:col>3</xdr:col>
      <xdr:colOff>95251</xdr:colOff>
      <xdr:row>0</xdr:row>
      <xdr:rowOff>112838</xdr:rowOff>
    </xdr:from>
    <xdr:to>
      <xdr:col>3</xdr:col>
      <xdr:colOff>885825</xdr:colOff>
      <xdr:row>4</xdr:row>
      <xdr:rowOff>28574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6871C3AD-FC49-DF9B-39A0-98090EF17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322" b="100000" l="0" r="1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238501" y="112838"/>
          <a:ext cx="790574" cy="687261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133351</xdr:colOff>
      <xdr:row>0</xdr:row>
      <xdr:rowOff>38100</xdr:rowOff>
    </xdr:from>
    <xdr:to>
      <xdr:col>5</xdr:col>
      <xdr:colOff>704850</xdr:colOff>
      <xdr:row>2</xdr:row>
      <xdr:rowOff>169405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04F8DBFF-076E-446E-ACC0-305A771D4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24351" y="38100"/>
          <a:ext cx="1619249" cy="512305"/>
        </a:xfrm>
        <a:prstGeom prst="rect">
          <a:avLst/>
        </a:prstGeom>
      </xdr:spPr>
    </xdr:pic>
    <xdr:clientData/>
  </xdr:twoCellAnchor>
  <xdr:twoCellAnchor>
    <xdr:from>
      <xdr:col>5</xdr:col>
      <xdr:colOff>981075</xdr:colOff>
      <xdr:row>0</xdr:row>
      <xdr:rowOff>66675</xdr:rowOff>
    </xdr:from>
    <xdr:to>
      <xdr:col>7</xdr:col>
      <xdr:colOff>285750</xdr:colOff>
      <xdr:row>2</xdr:row>
      <xdr:rowOff>133545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CC1B075B-D29E-C942-B345-20A98787ABA3}"/>
            </a:ext>
          </a:extLst>
        </xdr:cNvPr>
        <xdr:cNvGrpSpPr/>
      </xdr:nvGrpSpPr>
      <xdr:grpSpPr>
        <a:xfrm>
          <a:off x="6219825" y="66675"/>
          <a:ext cx="1400175" cy="447870"/>
          <a:chOff x="6219825" y="66675"/>
          <a:chExt cx="1400175" cy="447870"/>
        </a:xfrm>
      </xdr:grpSpPr>
      <xdr:pic>
        <xdr:nvPicPr>
          <xdr:cNvPr id="21" name="Imagem 20">
            <a:extLst>
              <a:ext uri="{FF2B5EF4-FFF2-40B4-BE49-F238E27FC236}">
                <a16:creationId xmlns:a16="http://schemas.microsoft.com/office/drawing/2014/main" id="{181EDE14-0F7D-486D-AB75-CB4EB2D76B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BEBA8EAE-BF5A-486C-A8C5-ECC9F3942E4B}">
                <a14:imgProps xmlns:a14="http://schemas.microsoft.com/office/drawing/2010/main">
                  <a14:imgLayer r:embed="rId9">
                    <a14:imgEffect>
                      <a14:backgroundRemoval t="0" b="100000" l="0" r="10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7353300" y="66675"/>
            <a:ext cx="266700" cy="447870"/>
          </a:xfrm>
          <a:prstGeom prst="rect">
            <a:avLst/>
          </a:prstGeom>
        </xdr:spPr>
      </xdr:pic>
      <xdr:pic>
        <xdr:nvPicPr>
          <xdr:cNvPr id="22" name="Imagem 21">
            <a:extLst>
              <a:ext uri="{FF2B5EF4-FFF2-40B4-BE49-F238E27FC236}">
                <a16:creationId xmlns:a16="http://schemas.microsoft.com/office/drawing/2014/main" id="{40E047D6-A8E3-4A3D-A9C6-2680E93AD7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BEBA8EAE-BF5A-486C-A8C5-ECC9F3942E4B}">
                <a14:imgProps xmlns:a14="http://schemas.microsoft.com/office/drawing/2010/main">
                  <a14:imgLayer r:embed="rId9">
                    <a14:imgEffect>
                      <a14:backgroundRemoval t="0" b="100000" l="0" r="10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6800850" y="66675"/>
            <a:ext cx="266700" cy="447870"/>
          </a:xfrm>
          <a:prstGeom prst="rect">
            <a:avLst/>
          </a:prstGeom>
        </xdr:spPr>
      </xdr:pic>
      <xdr:pic>
        <xdr:nvPicPr>
          <xdr:cNvPr id="23" name="Imagem 22">
            <a:extLst>
              <a:ext uri="{FF2B5EF4-FFF2-40B4-BE49-F238E27FC236}">
                <a16:creationId xmlns:a16="http://schemas.microsoft.com/office/drawing/2014/main" id="{0661ED6A-9B15-410D-8147-5C200B6347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BEBA8EAE-BF5A-486C-A8C5-ECC9F3942E4B}">
                <a14:imgProps xmlns:a14="http://schemas.microsoft.com/office/drawing/2010/main">
                  <a14:imgLayer r:embed="rId9">
                    <a14:imgEffect>
                      <a14:backgroundRemoval t="0" b="100000" l="0" r="10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6219825" y="66675"/>
            <a:ext cx="266700" cy="447870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495300</xdr:colOff>
      <xdr:row>0</xdr:row>
      <xdr:rowOff>38100</xdr:rowOff>
    </xdr:from>
    <xdr:to>
      <xdr:col>3</xdr:col>
      <xdr:colOff>847725</xdr:colOff>
      <xdr:row>2</xdr:row>
      <xdr:rowOff>104970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D3231475-E82D-11BC-7546-1E351319EB91}"/>
            </a:ext>
          </a:extLst>
        </xdr:cNvPr>
        <xdr:cNvGrpSpPr/>
      </xdr:nvGrpSpPr>
      <xdr:grpSpPr>
        <a:xfrm>
          <a:off x="2590800" y="38100"/>
          <a:ext cx="1400175" cy="447870"/>
          <a:chOff x="2590800" y="38100"/>
          <a:chExt cx="1400175" cy="447870"/>
        </a:xfrm>
      </xdr:grpSpPr>
      <xdr:pic>
        <xdr:nvPicPr>
          <xdr:cNvPr id="24" name="Imagem 23">
            <a:extLst>
              <a:ext uri="{FF2B5EF4-FFF2-40B4-BE49-F238E27FC236}">
                <a16:creationId xmlns:a16="http://schemas.microsoft.com/office/drawing/2014/main" id="{0353E015-86EF-4E8E-B696-CADE8762CE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BEBA8EAE-BF5A-486C-A8C5-ECC9F3942E4B}">
                <a14:imgProps xmlns:a14="http://schemas.microsoft.com/office/drawing/2010/main">
                  <a14:imgLayer r:embed="rId9">
                    <a14:imgEffect>
                      <a14:backgroundRemoval t="0" b="100000" l="0" r="10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3724275" y="38100"/>
            <a:ext cx="266700" cy="447870"/>
          </a:xfrm>
          <a:prstGeom prst="rect">
            <a:avLst/>
          </a:prstGeom>
        </xdr:spPr>
      </xdr:pic>
      <xdr:pic>
        <xdr:nvPicPr>
          <xdr:cNvPr id="25" name="Imagem 24">
            <a:extLst>
              <a:ext uri="{FF2B5EF4-FFF2-40B4-BE49-F238E27FC236}">
                <a16:creationId xmlns:a16="http://schemas.microsoft.com/office/drawing/2014/main" id="{CE5F5CE4-061F-43DD-8013-CC21D69250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BEBA8EAE-BF5A-486C-A8C5-ECC9F3942E4B}">
                <a14:imgProps xmlns:a14="http://schemas.microsoft.com/office/drawing/2010/main">
                  <a14:imgLayer r:embed="rId9">
                    <a14:imgEffect>
                      <a14:backgroundRemoval t="0" b="100000" l="0" r="10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3171825" y="38100"/>
            <a:ext cx="266700" cy="447870"/>
          </a:xfrm>
          <a:prstGeom prst="rect">
            <a:avLst/>
          </a:prstGeom>
        </xdr:spPr>
      </xdr:pic>
      <xdr:pic>
        <xdr:nvPicPr>
          <xdr:cNvPr id="26" name="Imagem 25">
            <a:extLst>
              <a:ext uri="{FF2B5EF4-FFF2-40B4-BE49-F238E27FC236}">
                <a16:creationId xmlns:a16="http://schemas.microsoft.com/office/drawing/2014/main" id="{C373ED82-DFB1-4349-8F51-85F3484DE3F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BEBA8EAE-BF5A-486C-A8C5-ECC9F3942E4B}">
                <a14:imgProps xmlns:a14="http://schemas.microsoft.com/office/drawing/2010/main">
                  <a14:imgLayer r:embed="rId9">
                    <a14:imgEffect>
                      <a14:backgroundRemoval t="0" b="100000" l="0" r="10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2590800" y="38100"/>
            <a:ext cx="266700" cy="447870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494349</xdr:colOff>
      <xdr:row>0</xdr:row>
      <xdr:rowOff>41750</xdr:rowOff>
    </xdr:from>
    <xdr:to>
      <xdr:col>1</xdr:col>
      <xdr:colOff>571503</xdr:colOff>
      <xdr:row>2</xdr:row>
      <xdr:rowOff>167642</xdr:rowOff>
    </xdr:to>
    <xdr:pic>
      <xdr:nvPicPr>
        <xdr:cNvPr id="27" name="Imagem 26" descr="Descubra 180 ideias de ARABESCOS e bordado em pedraria | estêncil, riscos  para bordar, arabesco e muito mais">
          <a:extLst>
            <a:ext uri="{FF2B5EF4-FFF2-40B4-BE49-F238E27FC236}">
              <a16:creationId xmlns:a16="http://schemas.microsoft.com/office/drawing/2014/main" id="{3C41595E-2EFE-4B76-F8F9-F38E41DE8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 flipH="1">
          <a:off x="803355" y="-267256"/>
          <a:ext cx="506892" cy="112490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342900</xdr:colOff>
      <xdr:row>0</xdr:row>
      <xdr:rowOff>38100</xdr:rowOff>
    </xdr:from>
    <xdr:to>
      <xdr:col>9</xdr:col>
      <xdr:colOff>495300</xdr:colOff>
      <xdr:row>2</xdr:row>
      <xdr:rowOff>163992</xdr:rowOff>
    </xdr:to>
    <xdr:pic>
      <xdr:nvPicPr>
        <xdr:cNvPr id="29" name="Imagem 28" descr="Descubra 180 ideias de ARABESCOS e bordado em pedraria | estêncil, riscos  para bordar, arabesco e muito mais">
          <a:extLst>
            <a:ext uri="{FF2B5EF4-FFF2-40B4-BE49-F238E27FC236}">
              <a16:creationId xmlns:a16="http://schemas.microsoft.com/office/drawing/2014/main" id="{08B041F0-555F-4A36-BEFD-EE558F2AE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 flipH="1" flipV="1">
          <a:off x="9071529" y="-308529"/>
          <a:ext cx="506892" cy="12001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161925</xdr:colOff>
      <xdr:row>2</xdr:row>
      <xdr:rowOff>123825</xdr:rowOff>
    </xdr:from>
    <xdr:to>
      <xdr:col>14</xdr:col>
      <xdr:colOff>304905</xdr:colOff>
      <xdr:row>10</xdr:row>
      <xdr:rowOff>195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9574B50-B3CF-43C1-9B0B-60BB4C7B3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0" r="1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086725" y="561975"/>
          <a:ext cx="752580" cy="14003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2</xdr:row>
      <xdr:rowOff>142875</xdr:rowOff>
    </xdr:from>
    <xdr:to>
      <xdr:col>13</xdr:col>
      <xdr:colOff>95344</xdr:colOff>
      <xdr:row>9</xdr:row>
      <xdr:rowOff>181166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2BDA448-BA37-49D2-90C7-80EE59E8B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778" b="100000" l="0" r="1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343775" y="581025"/>
          <a:ext cx="676369" cy="137179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149614</xdr:rowOff>
    </xdr:from>
    <xdr:to>
      <xdr:col>11</xdr:col>
      <xdr:colOff>495300</xdr:colOff>
      <xdr:row>12</xdr:row>
      <xdr:rowOff>67003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D5884A7-648A-45AC-ACA2-F30430F07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76800" y="587764"/>
          <a:ext cx="2324100" cy="18223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127075</xdr:rowOff>
    </xdr:from>
    <xdr:to>
      <xdr:col>5</xdr:col>
      <xdr:colOff>504825</xdr:colOff>
      <xdr:row>8</xdr:row>
      <xdr:rowOff>181222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22059D0-B23C-4DC9-ADA5-FB0D6E21B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565225"/>
          <a:ext cx="3552825" cy="1197147"/>
        </a:xfrm>
        <a:prstGeom prst="rect">
          <a:avLst/>
        </a:prstGeom>
      </xdr:spPr>
    </xdr:pic>
    <xdr:clientData/>
  </xdr:twoCellAnchor>
  <xdr:twoCellAnchor editAs="oneCell">
    <xdr:from>
      <xdr:col>8</xdr:col>
      <xdr:colOff>9526</xdr:colOff>
      <xdr:row>13</xdr:row>
      <xdr:rowOff>23192</xdr:rowOff>
    </xdr:from>
    <xdr:to>
      <xdr:col>11</xdr:col>
      <xdr:colOff>200026</xdr:colOff>
      <xdr:row>19</xdr:row>
      <xdr:rowOff>19284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D7F2CADE-5B4A-4D56-8792-41FDC9A1A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86326" y="2556842"/>
          <a:ext cx="2019300" cy="1139092"/>
        </a:xfrm>
        <a:prstGeom prst="rect">
          <a:avLst/>
        </a:prstGeom>
      </xdr:spPr>
    </xdr:pic>
    <xdr:clientData/>
  </xdr:twoCellAnchor>
  <xdr:twoCellAnchor editAs="oneCell">
    <xdr:from>
      <xdr:col>11</xdr:col>
      <xdr:colOff>400051</xdr:colOff>
      <xdr:row>13</xdr:row>
      <xdr:rowOff>7455</xdr:rowOff>
    </xdr:from>
    <xdr:to>
      <xdr:col>18</xdr:col>
      <xdr:colOff>114301</xdr:colOff>
      <xdr:row>19</xdr:row>
      <xdr:rowOff>124123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1D0FF559-4834-F44B-5FE0-3F24842B8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105651" y="2541105"/>
          <a:ext cx="3981450" cy="125966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81AA85-3901-4136-9CED-31FCAF83512B}" name="Tabela2" displayName="Tabela2" ref="A1:N151" totalsRowShown="0" headerRowDxfId="4">
  <autoFilter ref="A1:N151" xr:uid="{00000000-0009-0000-0000-000002000000}"/>
  <tableColumns count="14">
    <tableColumn id="1" xr3:uid="{E4DB8AAE-580D-46F8-93D5-C331DEBC167F}" name="ID Venda"/>
    <tableColumn id="2" xr3:uid="{DB8476D6-5AA4-4372-86C7-9B820FCE2B66}" name="Data Venda" dataDxfId="3"/>
    <tableColumn id="3" xr3:uid="{BC95DC8B-931E-42A0-8655-3F364E1D4E90}" name="Código Produto"/>
    <tableColumn id="4" xr3:uid="{9FBF2DBF-474E-4F73-AEF7-E4A447CA4636}" name="Nome do Produto"/>
    <tableColumn id="5" xr3:uid="{6EFAF30D-7C84-448D-AA6D-844434693EDE}" name="Categoria"/>
    <tableColumn id="6" xr3:uid="{A642547B-B938-4082-BFE9-842D4A137E05}" name="Quantidade" dataDxfId="2"/>
    <tableColumn id="7" xr3:uid="{D8E8F880-EC36-49B1-8E45-11F836567313}" name="Valor Unitário (R$)" dataDxfId="1"/>
    <tableColumn id="8" xr3:uid="{B301859E-DCA7-431D-A739-4F3D07316102}" name="Valor Total (R$)" dataDxfId="0"/>
    <tableColumn id="9" xr3:uid="{ADE35789-968B-4956-A05D-09E69A1BEEF0}" name="Loja"/>
    <tableColumn id="10" xr3:uid="{E3901077-21AF-4914-8BBF-9EABF544C98C}" name="Cidade"/>
    <tableColumn id="11" xr3:uid="{59008D50-B8C7-4B9F-AB19-83D678645B68}" name="Estado"/>
    <tableColumn id="12" xr3:uid="{1B17B11E-1254-47B0-B669-022DA2CB505C}" name="Ano"/>
    <tableColumn id="13" xr3:uid="{71C15797-2F54-420D-9414-7B171A28B404}" name="Mês_Num"/>
    <tableColumn id="14" xr3:uid="{1DE99B72-17E6-4FCD-9743-25A5A89BA64F}" name="Mês_Nome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showGridLines="0" tabSelected="1" zoomScaleNormal="100" workbookViewId="0">
      <selection activeCell="K4" sqref="K4"/>
    </sheetView>
  </sheetViews>
  <sheetFormatPr defaultRowHeight="15" x14ac:dyDescent="0.25"/>
  <cols>
    <col min="1" max="10" width="15.7109375" customWidth="1"/>
    <col min="11" max="11" width="19" customWidth="1"/>
  </cols>
  <sheetData>
    <row r="1" spans="1:10" x14ac:dyDescent="0.25">
      <c r="A1" s="24"/>
      <c r="B1" s="25"/>
      <c r="C1" s="25"/>
      <c r="D1" s="25"/>
      <c r="E1" s="25"/>
      <c r="F1" s="25"/>
      <c r="G1" s="25"/>
      <c r="H1" s="25"/>
      <c r="I1" s="25"/>
      <c r="J1" s="26"/>
    </row>
    <row r="2" spans="1:10" x14ac:dyDescent="0.25">
      <c r="A2" s="27"/>
      <c r="B2" s="28"/>
      <c r="C2" s="28"/>
      <c r="D2" s="28"/>
      <c r="E2" s="28"/>
      <c r="F2" s="28"/>
      <c r="G2" s="28"/>
      <c r="H2" s="28"/>
      <c r="I2" s="28"/>
      <c r="J2" s="29"/>
    </row>
    <row r="3" spans="1:10" ht="15.75" thickBot="1" x14ac:dyDescent="0.3">
      <c r="A3" s="30"/>
      <c r="B3" s="31"/>
      <c r="C3" s="31"/>
      <c r="D3" s="31"/>
      <c r="E3" s="31"/>
      <c r="F3" s="31"/>
      <c r="G3" s="31"/>
      <c r="H3" s="31"/>
      <c r="I3" s="31"/>
      <c r="J3" s="32"/>
    </row>
    <row r="4" spans="1:10" ht="15" customHeight="1" x14ac:dyDescent="0.25">
      <c r="A4" s="22" t="s">
        <v>261</v>
      </c>
      <c r="B4" s="23"/>
      <c r="C4" s="23"/>
      <c r="D4" s="23"/>
      <c r="E4" s="23"/>
      <c r="F4" s="23"/>
      <c r="G4" s="23"/>
      <c r="H4" s="23"/>
      <c r="I4" s="23"/>
      <c r="J4" s="23"/>
    </row>
    <row r="5" spans="1:10" ht="15.75" customHeight="1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</row>
    <row r="6" spans="1:10" ht="4.5" customHeight="1" thickBot="1" x14ac:dyDescent="0.3">
      <c r="A6" s="20"/>
      <c r="B6" s="20"/>
      <c r="C6" s="20"/>
      <c r="D6" s="20"/>
      <c r="E6" s="20"/>
      <c r="F6" s="20"/>
      <c r="G6" s="20"/>
      <c r="H6" s="20"/>
      <c r="I6" s="20"/>
      <c r="J6" s="20"/>
    </row>
    <row r="7" spans="1:10" s="12" customFormat="1" ht="12" x14ac:dyDescent="0.2">
      <c r="A7" s="40" t="s">
        <v>0</v>
      </c>
      <c r="B7" s="41"/>
      <c r="C7" s="40" t="s">
        <v>1</v>
      </c>
      <c r="D7" s="41"/>
      <c r="E7" s="40" t="s">
        <v>2</v>
      </c>
      <c r="F7" s="41"/>
      <c r="G7" s="40" t="s">
        <v>3</v>
      </c>
      <c r="H7" s="41"/>
      <c r="I7" s="40" t="s">
        <v>4</v>
      </c>
      <c r="J7" s="41"/>
    </row>
    <row r="8" spans="1:10" s="12" customFormat="1" ht="12" x14ac:dyDescent="0.2">
      <c r="A8" s="39">
        <f>'Tabelas Dinâmicas'!D16</f>
        <v>1304163053.5000002</v>
      </c>
      <c r="B8" s="35"/>
      <c r="C8" s="36">
        <f>'Tabelas Dinâmicas'!C16</f>
        <v>10561975</v>
      </c>
      <c r="D8" s="35"/>
      <c r="E8" s="34" t="str">
        <f>'Tabelas Dinâmicas'!A19</f>
        <v>Lily Eau de Parfum 75ml</v>
      </c>
      <c r="F8" s="35"/>
      <c r="G8" s="34" t="str">
        <f>'Tabelas Dinâmicas'!F19</f>
        <v>Loja Shopping Ibira</v>
      </c>
      <c r="H8" s="35"/>
      <c r="I8" s="39">
        <f>'Tabelas Dinâmicas'!D16/'Tabelas Dinâmicas'!C16</f>
        <v>123.47719564759434</v>
      </c>
      <c r="J8" s="35"/>
    </row>
    <row r="9" spans="1:10" s="21" customFormat="1" ht="12.75" thickBot="1" x14ac:dyDescent="0.25">
      <c r="A9" s="37" t="s">
        <v>5</v>
      </c>
      <c r="B9" s="38"/>
      <c r="C9" s="37" t="s">
        <v>6</v>
      </c>
      <c r="D9" s="38"/>
      <c r="E9" s="37" t="s">
        <v>7</v>
      </c>
      <c r="F9" s="38"/>
      <c r="G9" s="37" t="s">
        <v>8</v>
      </c>
      <c r="H9" s="38"/>
      <c r="I9" s="37" t="s">
        <v>9</v>
      </c>
      <c r="J9" s="38"/>
    </row>
    <row r="10" spans="1:10" s="19" customFormat="1" x14ac:dyDescent="0.25">
      <c r="A10" s="33" t="s">
        <v>263</v>
      </c>
      <c r="B10" s="33"/>
      <c r="C10" s="33"/>
      <c r="D10" s="33"/>
      <c r="E10" s="33"/>
      <c r="F10" s="33"/>
      <c r="G10" s="33"/>
      <c r="H10" s="33"/>
      <c r="I10" s="33"/>
      <c r="J10" s="33"/>
    </row>
    <row r="11" spans="1:10" s="19" customFormat="1" x14ac:dyDescent="0.25"/>
    <row r="12" spans="1:10" s="19" customFormat="1" x14ac:dyDescent="0.25"/>
    <row r="13" spans="1:10" s="19" customFormat="1" x14ac:dyDescent="0.25"/>
    <row r="14" spans="1:10" s="19" customFormat="1" x14ac:dyDescent="0.25"/>
    <row r="15" spans="1:10" s="19" customFormat="1" x14ac:dyDescent="0.25"/>
    <row r="16" spans="1:10" s="19" customFormat="1" x14ac:dyDescent="0.25"/>
    <row r="17" s="19" customFormat="1" x14ac:dyDescent="0.25"/>
    <row r="18" s="19" customFormat="1" x14ac:dyDescent="0.25"/>
    <row r="19" s="19" customFormat="1" x14ac:dyDescent="0.25"/>
    <row r="20" s="19" customFormat="1" x14ac:dyDescent="0.25"/>
    <row r="21" s="19" customFormat="1" x14ac:dyDescent="0.25"/>
    <row r="22" s="19" customFormat="1" x14ac:dyDescent="0.25"/>
    <row r="23" s="19" customFormat="1" x14ac:dyDescent="0.25"/>
    <row r="24" s="19" customFormat="1" x14ac:dyDescent="0.25"/>
    <row r="25" s="19" customFormat="1" x14ac:dyDescent="0.25"/>
    <row r="26" s="19" customFormat="1" x14ac:dyDescent="0.25"/>
    <row r="27" s="19" customFormat="1" x14ac:dyDescent="0.25"/>
    <row r="28" s="19" customFormat="1" x14ac:dyDescent="0.25"/>
    <row r="29" s="19" customFormat="1" x14ac:dyDescent="0.25"/>
    <row r="30" s="19" customFormat="1" x14ac:dyDescent="0.25"/>
    <row r="31" s="19" customFormat="1" x14ac:dyDescent="0.25"/>
    <row r="32" s="19" customFormat="1" x14ac:dyDescent="0.25"/>
    <row r="33" s="19" customFormat="1" x14ac:dyDescent="0.25"/>
    <row r="34" s="19" customFormat="1" x14ac:dyDescent="0.25"/>
    <row r="35" s="19" customFormat="1" x14ac:dyDescent="0.25"/>
    <row r="36" s="19" customFormat="1" x14ac:dyDescent="0.25"/>
    <row r="37" s="19" customFormat="1" x14ac:dyDescent="0.25"/>
    <row r="38" s="19" customFormat="1" x14ac:dyDescent="0.25"/>
    <row r="39" s="19" customFormat="1" x14ac:dyDescent="0.25"/>
    <row r="40" s="19" customFormat="1" x14ac:dyDescent="0.25"/>
    <row r="41" s="19" customFormat="1" x14ac:dyDescent="0.25"/>
    <row r="42" s="19" customFormat="1" x14ac:dyDescent="0.25"/>
    <row r="43" s="19" customFormat="1" x14ac:dyDescent="0.25"/>
    <row r="44" s="19" customFormat="1" x14ac:dyDescent="0.25"/>
  </sheetData>
  <mergeCells count="18">
    <mergeCell ref="G8:H8"/>
    <mergeCell ref="A8:B8"/>
    <mergeCell ref="A4:J5"/>
    <mergeCell ref="A1:J3"/>
    <mergeCell ref="A10:J10"/>
    <mergeCell ref="E8:F8"/>
    <mergeCell ref="C8:D8"/>
    <mergeCell ref="C9:D9"/>
    <mergeCell ref="A9:B9"/>
    <mergeCell ref="E9:F9"/>
    <mergeCell ref="G9:H9"/>
    <mergeCell ref="I8:J8"/>
    <mergeCell ref="I9:J9"/>
    <mergeCell ref="C7:D7"/>
    <mergeCell ref="A7:B7"/>
    <mergeCell ref="G7:H7"/>
    <mergeCell ref="E7:F7"/>
    <mergeCell ref="I7:J7"/>
  </mergeCells>
  <pageMargins left="0.75" right="0.75" top="1" bottom="1" header="0.5" footer="0.5"/>
  <pageSetup paperSize="9" scale="5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38282-427D-46F8-9831-E04A25D29D94}">
  <dimension ref="A2:O15"/>
  <sheetViews>
    <sheetView zoomScaleNormal="100" workbookViewId="0">
      <selection activeCell="B12" sqref="B12"/>
    </sheetView>
  </sheetViews>
  <sheetFormatPr defaultRowHeight="15" x14ac:dyDescent="0.25"/>
  <sheetData>
    <row r="2" spans="1:15" ht="19.5" x14ac:dyDescent="0.3">
      <c r="A2" s="42" t="s">
        <v>255</v>
      </c>
      <c r="B2" s="42"/>
      <c r="C2" s="42"/>
      <c r="D2" s="42"/>
      <c r="E2" s="42"/>
      <c r="F2" s="42"/>
      <c r="G2" s="42"/>
      <c r="H2" s="13"/>
      <c r="I2" s="42" t="s">
        <v>256</v>
      </c>
      <c r="J2" s="42"/>
      <c r="K2" s="42"/>
      <c r="L2" s="42"/>
      <c r="M2" s="42"/>
      <c r="N2" s="42"/>
      <c r="O2" s="42"/>
    </row>
    <row r="11" spans="1:15" x14ac:dyDescent="0.25">
      <c r="A11" s="14"/>
      <c r="B11" t="s">
        <v>257</v>
      </c>
    </row>
    <row r="12" spans="1:15" x14ac:dyDescent="0.25">
      <c r="A12" s="15"/>
      <c r="B12" t="s">
        <v>258</v>
      </c>
    </row>
    <row r="13" spans="1:15" x14ac:dyDescent="0.25">
      <c r="A13" s="16"/>
      <c r="B13" t="s">
        <v>259</v>
      </c>
    </row>
    <row r="14" spans="1:15" x14ac:dyDescent="0.25">
      <c r="A14" s="17"/>
      <c r="B14" t="s">
        <v>260</v>
      </c>
    </row>
    <row r="15" spans="1:15" x14ac:dyDescent="0.25">
      <c r="A15" s="18"/>
      <c r="B15" t="s">
        <v>262</v>
      </c>
    </row>
  </sheetData>
  <mergeCells count="2">
    <mergeCell ref="A2:G2"/>
    <mergeCell ref="I2:O2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topLeftCell="A7" workbookViewId="0">
      <selection activeCell="A24" sqref="A24"/>
    </sheetView>
  </sheetViews>
  <sheetFormatPr defaultRowHeight="15" x14ac:dyDescent="0.25"/>
  <cols>
    <col min="1" max="1" width="46" customWidth="1"/>
    <col min="2" max="2" width="14" customWidth="1"/>
    <col min="3" max="4" width="21" customWidth="1"/>
    <col min="5" max="5" width="14" customWidth="1"/>
    <col min="6" max="6" width="25" customWidth="1"/>
    <col min="7" max="7" width="22" customWidth="1"/>
    <col min="8" max="9" width="19" customWidth="1"/>
  </cols>
  <sheetData>
    <row r="1" spans="1:9" ht="23.25" x14ac:dyDescent="0.25">
      <c r="A1" s="43" t="s">
        <v>10</v>
      </c>
      <c r="B1" s="44"/>
      <c r="C1" s="44"/>
      <c r="D1" s="44"/>
      <c r="E1" s="44"/>
      <c r="F1" s="44"/>
      <c r="G1" s="44"/>
      <c r="H1" s="44"/>
      <c r="I1" s="44"/>
    </row>
    <row r="3" spans="1:9" x14ac:dyDescent="0.25">
      <c r="A3" s="1" t="s">
        <v>11</v>
      </c>
      <c r="B3" s="1" t="s">
        <v>12</v>
      </c>
      <c r="C3" s="1" t="s">
        <v>13</v>
      </c>
      <c r="D3" s="1" t="s">
        <v>14</v>
      </c>
      <c r="F3" s="1" t="s">
        <v>15</v>
      </c>
      <c r="G3" s="1" t="s">
        <v>13</v>
      </c>
      <c r="H3" s="1" t="s">
        <v>14</v>
      </c>
    </row>
    <row r="4" spans="1:9" x14ac:dyDescent="0.25">
      <c r="A4" s="2">
        <v>1</v>
      </c>
      <c r="B4" t="s">
        <v>243</v>
      </c>
      <c r="C4" s="3">
        <v>406000</v>
      </c>
      <c r="D4" s="4">
        <v>47435400</v>
      </c>
      <c r="F4" t="s">
        <v>16</v>
      </c>
      <c r="G4" s="3">
        <v>3855460</v>
      </c>
      <c r="H4" s="4">
        <v>728891884</v>
      </c>
    </row>
    <row r="5" spans="1:9" x14ac:dyDescent="0.25">
      <c r="A5" s="2">
        <v>2</v>
      </c>
      <c r="B5" t="s">
        <v>244</v>
      </c>
      <c r="C5" s="3">
        <v>120000</v>
      </c>
      <c r="D5" s="4">
        <v>15963000</v>
      </c>
      <c r="F5" t="s">
        <v>17</v>
      </c>
      <c r="G5" s="3">
        <v>3496439</v>
      </c>
      <c r="H5" s="4">
        <v>302764643.10000002</v>
      </c>
    </row>
    <row r="6" spans="1:9" x14ac:dyDescent="0.25">
      <c r="A6" s="2">
        <v>3</v>
      </c>
      <c r="B6" t="s">
        <v>245</v>
      </c>
      <c r="C6" s="3">
        <v>870251</v>
      </c>
      <c r="D6" s="4">
        <v>91822019.900000006</v>
      </c>
      <c r="F6" t="s">
        <v>18</v>
      </c>
      <c r="G6" s="3">
        <v>3210076</v>
      </c>
      <c r="H6" s="4">
        <v>272506526.39999998</v>
      </c>
    </row>
    <row r="7" spans="1:9" x14ac:dyDescent="0.25">
      <c r="A7" s="2">
        <v>4</v>
      </c>
      <c r="B7" t="s">
        <v>246</v>
      </c>
      <c r="C7" s="3">
        <v>963319</v>
      </c>
      <c r="D7" s="4">
        <v>129083087.09999999</v>
      </c>
    </row>
    <row r="8" spans="1:9" x14ac:dyDescent="0.25">
      <c r="A8" s="2">
        <v>5</v>
      </c>
      <c r="B8" t="s">
        <v>247</v>
      </c>
      <c r="C8" s="3">
        <v>773770</v>
      </c>
      <c r="D8" s="4">
        <v>98569357</v>
      </c>
    </row>
    <row r="9" spans="1:9" x14ac:dyDescent="0.25">
      <c r="A9" s="2">
        <v>6</v>
      </c>
      <c r="B9" t="s">
        <v>248</v>
      </c>
      <c r="C9" s="3">
        <v>1495201</v>
      </c>
      <c r="D9" s="4">
        <v>151500905.90000001</v>
      </c>
    </row>
    <row r="10" spans="1:9" x14ac:dyDescent="0.25">
      <c r="A10" s="2">
        <v>7</v>
      </c>
      <c r="B10" t="s">
        <v>249</v>
      </c>
      <c r="C10" s="3">
        <v>718112</v>
      </c>
      <c r="D10" s="4">
        <v>86718124.799999997</v>
      </c>
    </row>
    <row r="11" spans="1:9" x14ac:dyDescent="0.25">
      <c r="A11" s="2">
        <v>8</v>
      </c>
      <c r="B11" t="s">
        <v>250</v>
      </c>
      <c r="C11" s="3">
        <v>855883</v>
      </c>
      <c r="D11" s="4">
        <v>130393958.7</v>
      </c>
    </row>
    <row r="12" spans="1:9" x14ac:dyDescent="0.25">
      <c r="A12" s="2">
        <v>9</v>
      </c>
      <c r="B12" t="s">
        <v>251</v>
      </c>
      <c r="C12" s="3">
        <v>1300883</v>
      </c>
      <c r="D12" s="4">
        <v>130936407.7</v>
      </c>
    </row>
    <row r="13" spans="1:9" x14ac:dyDescent="0.25">
      <c r="A13" s="2">
        <v>10</v>
      </c>
      <c r="B13" t="s">
        <v>252</v>
      </c>
      <c r="C13" s="3">
        <v>780883</v>
      </c>
      <c r="D13" s="4">
        <v>84879105.700000003</v>
      </c>
    </row>
    <row r="14" spans="1:9" x14ac:dyDescent="0.25">
      <c r="A14" s="2">
        <v>11</v>
      </c>
      <c r="B14" t="s">
        <v>253</v>
      </c>
      <c r="C14" s="3">
        <v>1403337</v>
      </c>
      <c r="D14" s="4">
        <v>234935216.30000001</v>
      </c>
    </row>
    <row r="15" spans="1:9" x14ac:dyDescent="0.25">
      <c r="A15" s="2">
        <v>12</v>
      </c>
      <c r="B15" t="s">
        <v>254</v>
      </c>
      <c r="C15" s="3">
        <v>874336</v>
      </c>
      <c r="D15" s="4">
        <v>101926470.40000001</v>
      </c>
    </row>
    <row r="16" spans="1:9" x14ac:dyDescent="0.25">
      <c r="A16" s="5" t="s">
        <v>19</v>
      </c>
      <c r="B16" s="5"/>
      <c r="C16" s="6">
        <f>SUM(C4:C15)</f>
        <v>10561975</v>
      </c>
      <c r="D16" s="7">
        <f>SUM(D4:D15)</f>
        <v>1304163053.5000002</v>
      </c>
    </row>
    <row r="18" spans="1:9" x14ac:dyDescent="0.25">
      <c r="A18" s="1" t="s">
        <v>20</v>
      </c>
      <c r="B18" s="1" t="s">
        <v>13</v>
      </c>
      <c r="C18" s="1" t="s">
        <v>14</v>
      </c>
      <c r="F18" s="1" t="s">
        <v>21</v>
      </c>
      <c r="G18" s="1" t="s">
        <v>22</v>
      </c>
      <c r="H18" s="1" t="s">
        <v>13</v>
      </c>
      <c r="I18" s="1" t="s">
        <v>14</v>
      </c>
    </row>
    <row r="19" spans="1:9" x14ac:dyDescent="0.25">
      <c r="A19" t="s">
        <v>7</v>
      </c>
      <c r="B19" s="3">
        <v>818116</v>
      </c>
      <c r="C19" s="4">
        <v>204447188.40000001</v>
      </c>
      <c r="F19" t="s">
        <v>23</v>
      </c>
      <c r="G19" t="s">
        <v>24</v>
      </c>
      <c r="H19" s="3">
        <v>1608995</v>
      </c>
      <c r="I19" s="4">
        <v>249772200.5</v>
      </c>
    </row>
    <row r="20" spans="1:9" x14ac:dyDescent="0.25">
      <c r="A20" t="s">
        <v>25</v>
      </c>
      <c r="B20" s="3">
        <v>534001</v>
      </c>
      <c r="C20" s="4">
        <v>154806889.90000001</v>
      </c>
      <c r="F20" t="s">
        <v>26</v>
      </c>
      <c r="G20" t="s">
        <v>27</v>
      </c>
      <c r="H20" s="3">
        <v>1702449</v>
      </c>
      <c r="I20" s="4">
        <v>210897385.09999999</v>
      </c>
    </row>
    <row r="21" spans="1:9" x14ac:dyDescent="0.25">
      <c r="A21" t="s">
        <v>28</v>
      </c>
      <c r="B21" s="3">
        <v>868452</v>
      </c>
      <c r="C21" s="4">
        <v>130180954.8</v>
      </c>
      <c r="F21" t="s">
        <v>29</v>
      </c>
      <c r="G21" t="s">
        <v>24</v>
      </c>
      <c r="H21" s="3">
        <v>1609653</v>
      </c>
      <c r="I21" s="4">
        <v>177471564.69999999</v>
      </c>
    </row>
    <row r="22" spans="1:9" x14ac:dyDescent="0.25">
      <c r="A22" t="s">
        <v>30</v>
      </c>
      <c r="B22" s="3">
        <v>791778</v>
      </c>
      <c r="C22" s="4">
        <v>118687522.2</v>
      </c>
      <c r="F22" t="s">
        <v>31</v>
      </c>
      <c r="G22" t="s">
        <v>32</v>
      </c>
      <c r="H22" s="3">
        <v>1568218</v>
      </c>
      <c r="I22" s="4">
        <v>150649712.19999999</v>
      </c>
    </row>
    <row r="23" spans="1:9" x14ac:dyDescent="0.25">
      <c r="A23" t="s">
        <v>33</v>
      </c>
      <c r="B23" s="3">
        <v>862000</v>
      </c>
      <c r="C23" s="4">
        <v>111973800</v>
      </c>
      <c r="F23" t="s">
        <v>34</v>
      </c>
      <c r="G23" t="s">
        <v>35</v>
      </c>
      <c r="H23" s="3">
        <v>1081114</v>
      </c>
      <c r="I23" s="4">
        <v>146167078.59999999</v>
      </c>
    </row>
    <row r="24" spans="1:9" x14ac:dyDescent="0.25">
      <c r="A24" t="s">
        <v>36</v>
      </c>
      <c r="B24" s="3">
        <v>779659</v>
      </c>
      <c r="C24" s="4">
        <v>105175999.09999999</v>
      </c>
      <c r="F24" t="s">
        <v>37</v>
      </c>
      <c r="G24" t="s">
        <v>38</v>
      </c>
      <c r="H24" s="3">
        <v>1205090</v>
      </c>
      <c r="I24" s="4">
        <v>140891061</v>
      </c>
    </row>
    <row r="25" spans="1:9" x14ac:dyDescent="0.25">
      <c r="A25" t="s">
        <v>39</v>
      </c>
      <c r="B25" s="3">
        <v>483890</v>
      </c>
      <c r="C25" s="4">
        <v>87051811</v>
      </c>
      <c r="F25" t="s">
        <v>40</v>
      </c>
      <c r="G25" t="s">
        <v>41</v>
      </c>
      <c r="H25" s="3">
        <v>1015883</v>
      </c>
      <c r="I25" s="4">
        <v>125944901.7</v>
      </c>
    </row>
    <row r="26" spans="1:9" x14ac:dyDescent="0.25">
      <c r="A26" t="s">
        <v>42</v>
      </c>
      <c r="B26" s="3">
        <v>827540</v>
      </c>
      <c r="C26" s="4">
        <v>82671246</v>
      </c>
      <c r="F26" t="s">
        <v>43</v>
      </c>
      <c r="G26" t="s">
        <v>44</v>
      </c>
      <c r="H26" s="3">
        <v>770573</v>
      </c>
      <c r="I26" s="4">
        <v>102369149.7</v>
      </c>
    </row>
    <row r="27" spans="1:9" x14ac:dyDescent="0.25">
      <c r="A27" t="s">
        <v>45</v>
      </c>
      <c r="B27" s="3">
        <v>584336</v>
      </c>
      <c r="C27" s="4">
        <v>70061886.400000006</v>
      </c>
    </row>
    <row r="28" spans="1:9" x14ac:dyDescent="0.25">
      <c r="A28" t="s">
        <v>46</v>
      </c>
      <c r="B28" s="3">
        <v>812113</v>
      </c>
      <c r="C28" s="4">
        <v>60827263.700000003</v>
      </c>
    </row>
    <row r="29" spans="1:9" x14ac:dyDescent="0.25">
      <c r="A29" t="s">
        <v>47</v>
      </c>
      <c r="B29" s="3">
        <v>795995</v>
      </c>
      <c r="C29" s="4">
        <v>42108135.5</v>
      </c>
    </row>
    <row r="30" spans="1:9" x14ac:dyDescent="0.25">
      <c r="A30" t="s">
        <v>48</v>
      </c>
      <c r="B30" s="3">
        <v>289001</v>
      </c>
      <c r="C30" s="4">
        <v>40431239.900000013</v>
      </c>
    </row>
    <row r="31" spans="1:9" x14ac:dyDescent="0.25">
      <c r="A31" t="s">
        <v>49</v>
      </c>
      <c r="B31" s="3">
        <v>699428</v>
      </c>
      <c r="C31" s="4">
        <v>30005461.199999999</v>
      </c>
    </row>
    <row r="32" spans="1:9" x14ac:dyDescent="0.25">
      <c r="A32" t="s">
        <v>50</v>
      </c>
      <c r="B32" s="3">
        <v>524336</v>
      </c>
      <c r="C32" s="4">
        <v>24591358.399999999</v>
      </c>
    </row>
    <row r="33" spans="1:3" x14ac:dyDescent="0.25">
      <c r="A33" t="s">
        <v>51</v>
      </c>
      <c r="B33" s="3">
        <v>519448</v>
      </c>
      <c r="C33" s="4">
        <v>20725975.199999999</v>
      </c>
    </row>
    <row r="34" spans="1:3" x14ac:dyDescent="0.25">
      <c r="A34" t="s">
        <v>52</v>
      </c>
      <c r="B34" s="3">
        <v>371882</v>
      </c>
      <c r="C34" s="4">
        <v>20416321.800000001</v>
      </c>
    </row>
  </sheetData>
  <mergeCells count="1">
    <mergeCell ref="A1:I1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1"/>
  <sheetViews>
    <sheetView workbookViewId="0">
      <selection activeCell="E13" sqref="E13"/>
    </sheetView>
  </sheetViews>
  <sheetFormatPr defaultRowHeight="15" x14ac:dyDescent="0.25"/>
  <cols>
    <col min="1" max="1" width="12" customWidth="1"/>
    <col min="2" max="2" width="22" customWidth="1"/>
    <col min="3" max="3" width="17" customWidth="1"/>
    <col min="4" max="4" width="46" customWidth="1"/>
    <col min="5" max="5" width="13" customWidth="1"/>
    <col min="6" max="6" width="13.5703125" customWidth="1"/>
    <col min="7" max="7" width="22" customWidth="1"/>
    <col min="8" max="8" width="21" customWidth="1"/>
    <col min="9" max="9" width="25" customWidth="1"/>
    <col min="10" max="10" width="17" customWidth="1"/>
    <col min="11" max="12" width="12" customWidth="1"/>
    <col min="13" max="13" width="12.28515625" customWidth="1"/>
    <col min="14" max="14" width="17" customWidth="1"/>
  </cols>
  <sheetData>
    <row r="1" spans="1:14" x14ac:dyDescent="0.25">
      <c r="A1" s="8" t="s">
        <v>53</v>
      </c>
      <c r="B1" s="8" t="s">
        <v>54</v>
      </c>
      <c r="C1" s="8" t="s">
        <v>55</v>
      </c>
      <c r="D1" s="8" t="s">
        <v>56</v>
      </c>
      <c r="E1" s="8" t="s">
        <v>15</v>
      </c>
      <c r="F1" s="8" t="s">
        <v>13</v>
      </c>
      <c r="G1" s="8" t="s">
        <v>57</v>
      </c>
      <c r="H1" s="8" t="s">
        <v>14</v>
      </c>
      <c r="I1" s="8" t="s">
        <v>21</v>
      </c>
      <c r="J1" s="8" t="s">
        <v>58</v>
      </c>
      <c r="K1" s="8" t="s">
        <v>59</v>
      </c>
      <c r="L1" s="8" t="s">
        <v>60</v>
      </c>
      <c r="M1" s="8" t="s">
        <v>61</v>
      </c>
      <c r="N1" s="8" t="s">
        <v>62</v>
      </c>
    </row>
    <row r="2" spans="1:14" x14ac:dyDescent="0.25">
      <c r="A2" t="s">
        <v>63</v>
      </c>
      <c r="B2" s="9">
        <v>45660</v>
      </c>
      <c r="C2" t="s">
        <v>64</v>
      </c>
      <c r="D2" t="s">
        <v>25</v>
      </c>
      <c r="E2" t="s">
        <v>16</v>
      </c>
      <c r="F2" s="3">
        <v>50000</v>
      </c>
      <c r="G2" s="4">
        <v>289.89999999999998</v>
      </c>
      <c r="H2" s="4">
        <v>14495000</v>
      </c>
      <c r="I2" t="s">
        <v>23</v>
      </c>
      <c r="J2" t="s">
        <v>65</v>
      </c>
      <c r="K2" t="s">
        <v>66</v>
      </c>
      <c r="L2">
        <v>2025</v>
      </c>
      <c r="M2">
        <v>1</v>
      </c>
      <c r="N2" s="10" t="s">
        <v>243</v>
      </c>
    </row>
    <row r="3" spans="1:14" x14ac:dyDescent="0.25">
      <c r="A3" t="s">
        <v>67</v>
      </c>
      <c r="B3" s="9">
        <v>45660</v>
      </c>
      <c r="C3" t="s">
        <v>68</v>
      </c>
      <c r="D3" t="s">
        <v>30</v>
      </c>
      <c r="E3" t="s">
        <v>18</v>
      </c>
      <c r="F3" s="3">
        <v>20000</v>
      </c>
      <c r="G3" s="4">
        <v>149.9</v>
      </c>
      <c r="H3" s="4">
        <v>2998000</v>
      </c>
      <c r="I3" t="s">
        <v>23</v>
      </c>
      <c r="J3" t="s">
        <v>65</v>
      </c>
      <c r="K3" t="s">
        <v>66</v>
      </c>
      <c r="L3">
        <v>2025</v>
      </c>
      <c r="M3">
        <v>1</v>
      </c>
      <c r="N3" s="10" t="s">
        <v>243</v>
      </c>
    </row>
    <row r="4" spans="1:14" x14ac:dyDescent="0.25">
      <c r="A4" t="s">
        <v>69</v>
      </c>
      <c r="B4" s="9">
        <v>45660</v>
      </c>
      <c r="C4" t="s">
        <v>70</v>
      </c>
      <c r="D4" t="s">
        <v>46</v>
      </c>
      <c r="E4" t="s">
        <v>17</v>
      </c>
      <c r="F4" s="3">
        <v>10000</v>
      </c>
      <c r="G4" s="4">
        <v>74.900000000000006</v>
      </c>
      <c r="H4" s="4">
        <v>749000</v>
      </c>
      <c r="I4" t="s">
        <v>29</v>
      </c>
      <c r="J4" t="s">
        <v>65</v>
      </c>
      <c r="K4" t="s">
        <v>66</v>
      </c>
      <c r="L4">
        <v>2025</v>
      </c>
      <c r="M4">
        <v>1</v>
      </c>
      <c r="N4" s="10" t="s">
        <v>243</v>
      </c>
    </row>
    <row r="5" spans="1:14" x14ac:dyDescent="0.25">
      <c r="A5" t="s">
        <v>71</v>
      </c>
      <c r="B5" s="9">
        <v>45661</v>
      </c>
      <c r="C5" t="s">
        <v>72</v>
      </c>
      <c r="D5" t="s">
        <v>33</v>
      </c>
      <c r="E5" t="s">
        <v>16</v>
      </c>
      <c r="F5" s="3">
        <v>7000</v>
      </c>
      <c r="G5" s="4">
        <v>129.9</v>
      </c>
      <c r="H5" s="4">
        <v>909300</v>
      </c>
      <c r="I5" t="s">
        <v>31</v>
      </c>
      <c r="J5" t="s">
        <v>73</v>
      </c>
      <c r="K5" t="s">
        <v>74</v>
      </c>
      <c r="L5">
        <v>2025</v>
      </c>
      <c r="M5">
        <v>1</v>
      </c>
      <c r="N5" s="10" t="s">
        <v>243</v>
      </c>
    </row>
    <row r="6" spans="1:14" x14ac:dyDescent="0.25">
      <c r="A6" t="s">
        <v>75</v>
      </c>
      <c r="B6" s="9">
        <v>45669</v>
      </c>
      <c r="C6" t="s">
        <v>68</v>
      </c>
      <c r="D6" t="s">
        <v>30</v>
      </c>
      <c r="E6" t="s">
        <v>18</v>
      </c>
      <c r="F6" s="3">
        <v>45000</v>
      </c>
      <c r="G6" s="4">
        <v>149.9</v>
      </c>
      <c r="H6" s="4">
        <v>6745500</v>
      </c>
      <c r="I6" t="s">
        <v>26</v>
      </c>
      <c r="J6" t="s">
        <v>76</v>
      </c>
      <c r="K6" t="s">
        <v>77</v>
      </c>
      <c r="L6">
        <v>2025</v>
      </c>
      <c r="M6">
        <v>1</v>
      </c>
      <c r="N6" s="10" t="s">
        <v>243</v>
      </c>
    </row>
    <row r="7" spans="1:14" x14ac:dyDescent="0.25">
      <c r="A7" t="s">
        <v>78</v>
      </c>
      <c r="B7" s="9">
        <v>45670</v>
      </c>
      <c r="C7" t="s">
        <v>70</v>
      </c>
      <c r="D7" t="s">
        <v>46</v>
      </c>
      <c r="E7" t="s">
        <v>17</v>
      </c>
      <c r="F7" s="3">
        <v>75000</v>
      </c>
      <c r="G7" s="4">
        <v>74.900000000000006</v>
      </c>
      <c r="H7" s="4">
        <v>5617500</v>
      </c>
      <c r="I7" t="s">
        <v>31</v>
      </c>
      <c r="J7" t="s">
        <v>73</v>
      </c>
      <c r="K7" t="s">
        <v>74</v>
      </c>
      <c r="L7">
        <v>2025</v>
      </c>
      <c r="M7">
        <v>1</v>
      </c>
      <c r="N7" s="10" t="s">
        <v>243</v>
      </c>
    </row>
    <row r="8" spans="1:14" x14ac:dyDescent="0.25">
      <c r="A8" t="s">
        <v>79</v>
      </c>
      <c r="B8" s="9">
        <v>45672</v>
      </c>
      <c r="C8" t="s">
        <v>80</v>
      </c>
      <c r="D8" t="s">
        <v>49</v>
      </c>
      <c r="E8" t="s">
        <v>18</v>
      </c>
      <c r="F8" s="3">
        <v>120000</v>
      </c>
      <c r="G8" s="4">
        <v>42.9</v>
      </c>
      <c r="H8" s="4">
        <v>5148000</v>
      </c>
      <c r="I8" t="s">
        <v>40</v>
      </c>
      <c r="J8" t="s">
        <v>81</v>
      </c>
      <c r="K8" t="s">
        <v>82</v>
      </c>
      <c r="L8">
        <v>2025</v>
      </c>
      <c r="M8">
        <v>1</v>
      </c>
      <c r="N8" s="10" t="s">
        <v>243</v>
      </c>
    </row>
    <row r="9" spans="1:14" x14ac:dyDescent="0.25">
      <c r="A9" t="s">
        <v>83</v>
      </c>
      <c r="B9" s="9">
        <v>45678</v>
      </c>
      <c r="C9" t="s">
        <v>84</v>
      </c>
      <c r="D9" t="s">
        <v>47</v>
      </c>
      <c r="E9" t="s">
        <v>17</v>
      </c>
      <c r="F9" s="3">
        <v>10000</v>
      </c>
      <c r="G9" s="4">
        <v>52.9</v>
      </c>
      <c r="H9" s="4">
        <v>529000</v>
      </c>
      <c r="I9" t="s">
        <v>37</v>
      </c>
      <c r="J9" t="s">
        <v>85</v>
      </c>
      <c r="K9" t="s">
        <v>86</v>
      </c>
      <c r="L9">
        <v>2025</v>
      </c>
      <c r="M9">
        <v>1</v>
      </c>
      <c r="N9" s="10" t="s">
        <v>243</v>
      </c>
    </row>
    <row r="10" spans="1:14" x14ac:dyDescent="0.25">
      <c r="A10" t="s">
        <v>87</v>
      </c>
      <c r="B10" s="9">
        <v>45680</v>
      </c>
      <c r="C10" t="s">
        <v>84</v>
      </c>
      <c r="D10" t="s">
        <v>47</v>
      </c>
      <c r="E10" t="s">
        <v>17</v>
      </c>
      <c r="F10" s="3">
        <v>7000</v>
      </c>
      <c r="G10" s="4">
        <v>52.9</v>
      </c>
      <c r="H10" s="4">
        <v>370300</v>
      </c>
      <c r="I10" t="s">
        <v>43</v>
      </c>
      <c r="J10" t="s">
        <v>88</v>
      </c>
      <c r="K10" t="s">
        <v>89</v>
      </c>
      <c r="L10">
        <v>2025</v>
      </c>
      <c r="M10">
        <v>1</v>
      </c>
      <c r="N10" s="10" t="s">
        <v>243</v>
      </c>
    </row>
    <row r="11" spans="1:14" x14ac:dyDescent="0.25">
      <c r="A11" t="s">
        <v>90</v>
      </c>
      <c r="B11" s="9">
        <v>45683</v>
      </c>
      <c r="C11" t="s">
        <v>91</v>
      </c>
      <c r="D11" t="s">
        <v>39</v>
      </c>
      <c r="E11" t="s">
        <v>16</v>
      </c>
      <c r="F11" s="3">
        <v>45000</v>
      </c>
      <c r="G11" s="4">
        <v>179.9</v>
      </c>
      <c r="H11" s="4">
        <v>8095500</v>
      </c>
      <c r="I11" t="s">
        <v>23</v>
      </c>
      <c r="J11" t="s">
        <v>65</v>
      </c>
      <c r="K11" t="s">
        <v>66</v>
      </c>
      <c r="L11">
        <v>2025</v>
      </c>
      <c r="M11">
        <v>1</v>
      </c>
      <c r="N11" s="10" t="s">
        <v>243</v>
      </c>
    </row>
    <row r="12" spans="1:14" x14ac:dyDescent="0.25">
      <c r="A12" t="s">
        <v>92</v>
      </c>
      <c r="B12" s="9">
        <v>45684</v>
      </c>
      <c r="C12" t="s">
        <v>68</v>
      </c>
      <c r="D12" t="s">
        <v>30</v>
      </c>
      <c r="E12" t="s">
        <v>18</v>
      </c>
      <c r="F12" s="3">
        <v>10000</v>
      </c>
      <c r="G12" s="4">
        <v>149.9</v>
      </c>
      <c r="H12" s="4">
        <v>1499000</v>
      </c>
      <c r="I12" t="s">
        <v>29</v>
      </c>
      <c r="J12" t="s">
        <v>65</v>
      </c>
      <c r="K12" t="s">
        <v>66</v>
      </c>
      <c r="L12">
        <v>2025</v>
      </c>
      <c r="M12">
        <v>1</v>
      </c>
      <c r="N12" s="10" t="s">
        <v>243</v>
      </c>
    </row>
    <row r="13" spans="1:14" x14ac:dyDescent="0.25">
      <c r="A13" t="s">
        <v>93</v>
      </c>
      <c r="B13" s="9">
        <v>45687</v>
      </c>
      <c r="C13" t="s">
        <v>94</v>
      </c>
      <c r="D13" t="s">
        <v>51</v>
      </c>
      <c r="E13" t="s">
        <v>18</v>
      </c>
      <c r="F13" s="3">
        <v>7000</v>
      </c>
      <c r="G13" s="4">
        <v>39.9</v>
      </c>
      <c r="H13" s="4">
        <v>279300</v>
      </c>
      <c r="I13" t="s">
        <v>26</v>
      </c>
      <c r="J13" t="s">
        <v>76</v>
      </c>
      <c r="K13" t="s">
        <v>77</v>
      </c>
      <c r="L13">
        <v>2025</v>
      </c>
      <c r="M13">
        <v>1</v>
      </c>
      <c r="N13" s="10" t="s">
        <v>243</v>
      </c>
    </row>
    <row r="14" spans="1:14" x14ac:dyDescent="0.25">
      <c r="A14" t="s">
        <v>95</v>
      </c>
      <c r="B14" s="9">
        <v>45703</v>
      </c>
      <c r="C14" t="s">
        <v>72</v>
      </c>
      <c r="D14" t="s">
        <v>33</v>
      </c>
      <c r="E14" t="s">
        <v>16</v>
      </c>
      <c r="F14" s="3">
        <v>45000</v>
      </c>
      <c r="G14" s="4">
        <v>129.9</v>
      </c>
      <c r="H14" s="4">
        <v>5845500</v>
      </c>
      <c r="I14" t="s">
        <v>34</v>
      </c>
      <c r="J14" t="s">
        <v>96</v>
      </c>
      <c r="K14" t="s">
        <v>97</v>
      </c>
      <c r="L14">
        <v>2025</v>
      </c>
      <c r="M14">
        <v>2</v>
      </c>
      <c r="N14" s="10" t="s">
        <v>244</v>
      </c>
    </row>
    <row r="15" spans="1:14" x14ac:dyDescent="0.25">
      <c r="A15" t="s">
        <v>98</v>
      </c>
      <c r="B15" s="9">
        <v>45716</v>
      </c>
      <c r="C15" t="s">
        <v>99</v>
      </c>
      <c r="D15" t="s">
        <v>36</v>
      </c>
      <c r="E15" t="s">
        <v>17</v>
      </c>
      <c r="F15" s="3">
        <v>75000</v>
      </c>
      <c r="G15" s="4">
        <v>134.9</v>
      </c>
      <c r="H15" s="4">
        <v>10117500</v>
      </c>
      <c r="I15" t="s">
        <v>31</v>
      </c>
      <c r="J15" t="s">
        <v>73</v>
      </c>
      <c r="K15" t="s">
        <v>74</v>
      </c>
      <c r="L15">
        <v>2025</v>
      </c>
      <c r="M15">
        <v>2</v>
      </c>
      <c r="N15" s="10" t="s">
        <v>244</v>
      </c>
    </row>
    <row r="16" spans="1:14" x14ac:dyDescent="0.25">
      <c r="A16" t="s">
        <v>100</v>
      </c>
      <c r="B16" s="9">
        <v>45718</v>
      </c>
      <c r="C16" t="s">
        <v>70</v>
      </c>
      <c r="D16" t="s">
        <v>46</v>
      </c>
      <c r="E16" t="s">
        <v>17</v>
      </c>
      <c r="F16" s="3">
        <v>120000</v>
      </c>
      <c r="G16" s="4">
        <v>74.900000000000006</v>
      </c>
      <c r="H16" s="4">
        <v>8988000</v>
      </c>
      <c r="I16" t="s">
        <v>29</v>
      </c>
      <c r="J16" t="s">
        <v>65</v>
      </c>
      <c r="K16" t="s">
        <v>66</v>
      </c>
      <c r="L16">
        <v>2025</v>
      </c>
      <c r="M16">
        <v>3</v>
      </c>
      <c r="N16" s="10" t="s">
        <v>245</v>
      </c>
    </row>
    <row r="17" spans="1:14" x14ac:dyDescent="0.25">
      <c r="A17" t="s">
        <v>101</v>
      </c>
      <c r="B17" s="9">
        <v>45719</v>
      </c>
      <c r="C17" t="s">
        <v>102</v>
      </c>
      <c r="D17" t="s">
        <v>42</v>
      </c>
      <c r="E17" t="s">
        <v>18</v>
      </c>
      <c r="F17" s="3">
        <v>80000</v>
      </c>
      <c r="G17" s="4">
        <v>99.9</v>
      </c>
      <c r="H17" s="4">
        <v>7992000</v>
      </c>
      <c r="I17" t="s">
        <v>26</v>
      </c>
      <c r="J17" t="s">
        <v>76</v>
      </c>
      <c r="K17" t="s">
        <v>77</v>
      </c>
      <c r="L17">
        <v>2025</v>
      </c>
      <c r="M17">
        <v>3</v>
      </c>
      <c r="N17" s="10" t="s">
        <v>245</v>
      </c>
    </row>
    <row r="18" spans="1:14" x14ac:dyDescent="0.25">
      <c r="A18" t="s">
        <v>103</v>
      </c>
      <c r="B18" s="9">
        <v>45722</v>
      </c>
      <c r="C18" t="s">
        <v>94</v>
      </c>
      <c r="D18" t="s">
        <v>51</v>
      </c>
      <c r="E18" t="s">
        <v>18</v>
      </c>
      <c r="F18" s="3">
        <v>78112</v>
      </c>
      <c r="G18" s="4">
        <v>39.9</v>
      </c>
      <c r="H18" s="4">
        <v>3116668.8</v>
      </c>
      <c r="I18" t="s">
        <v>31</v>
      </c>
      <c r="J18" t="s">
        <v>73</v>
      </c>
      <c r="K18" t="s">
        <v>74</v>
      </c>
      <c r="L18">
        <v>2025</v>
      </c>
      <c r="M18">
        <v>3</v>
      </c>
      <c r="N18" s="10" t="s">
        <v>245</v>
      </c>
    </row>
    <row r="19" spans="1:14" x14ac:dyDescent="0.25">
      <c r="A19" t="s">
        <v>104</v>
      </c>
      <c r="B19" s="9">
        <v>45724</v>
      </c>
      <c r="C19" t="s">
        <v>68</v>
      </c>
      <c r="D19" t="s">
        <v>30</v>
      </c>
      <c r="E19" t="s">
        <v>18</v>
      </c>
      <c r="F19" s="3">
        <v>45889</v>
      </c>
      <c r="G19" s="4">
        <v>149.9</v>
      </c>
      <c r="H19" s="4">
        <v>6878761.1000000006</v>
      </c>
      <c r="I19" t="s">
        <v>37</v>
      </c>
      <c r="J19" t="s">
        <v>85</v>
      </c>
      <c r="K19" t="s">
        <v>86</v>
      </c>
      <c r="L19">
        <v>2025</v>
      </c>
      <c r="M19">
        <v>3</v>
      </c>
      <c r="N19" s="10" t="s">
        <v>245</v>
      </c>
    </row>
    <row r="20" spans="1:14" x14ac:dyDescent="0.25">
      <c r="A20" t="s">
        <v>105</v>
      </c>
      <c r="B20" s="9">
        <v>45726</v>
      </c>
      <c r="C20" t="s">
        <v>106</v>
      </c>
      <c r="D20" t="s">
        <v>52</v>
      </c>
      <c r="E20" t="s">
        <v>18</v>
      </c>
      <c r="F20" s="3">
        <v>55658</v>
      </c>
      <c r="G20" s="4">
        <v>54.9</v>
      </c>
      <c r="H20" s="4">
        <v>3055624.2</v>
      </c>
      <c r="I20" t="s">
        <v>37</v>
      </c>
      <c r="J20" t="s">
        <v>85</v>
      </c>
      <c r="K20" t="s">
        <v>86</v>
      </c>
      <c r="L20">
        <v>2025</v>
      </c>
      <c r="M20">
        <v>3</v>
      </c>
      <c r="N20" s="10" t="s">
        <v>245</v>
      </c>
    </row>
    <row r="21" spans="1:14" x14ac:dyDescent="0.25">
      <c r="A21" t="s">
        <v>107</v>
      </c>
      <c r="B21" s="9">
        <v>45727</v>
      </c>
      <c r="C21" t="s">
        <v>108</v>
      </c>
      <c r="D21" t="s">
        <v>28</v>
      </c>
      <c r="E21" t="s">
        <v>16</v>
      </c>
      <c r="F21" s="3">
        <v>55589</v>
      </c>
      <c r="G21" s="4">
        <v>149.9</v>
      </c>
      <c r="H21" s="4">
        <v>8332791.1000000006</v>
      </c>
      <c r="I21" t="s">
        <v>43</v>
      </c>
      <c r="J21" t="s">
        <v>88</v>
      </c>
      <c r="K21" t="s">
        <v>89</v>
      </c>
      <c r="L21">
        <v>2025</v>
      </c>
      <c r="M21">
        <v>3</v>
      </c>
      <c r="N21" s="10" t="s">
        <v>245</v>
      </c>
    </row>
    <row r="22" spans="1:14" x14ac:dyDescent="0.25">
      <c r="A22" t="s">
        <v>109</v>
      </c>
      <c r="B22" s="9">
        <v>45729</v>
      </c>
      <c r="C22" t="s">
        <v>91</v>
      </c>
      <c r="D22" t="s">
        <v>39</v>
      </c>
      <c r="E22" t="s">
        <v>16</v>
      </c>
      <c r="F22" s="3">
        <v>54000</v>
      </c>
      <c r="G22" s="4">
        <v>179.9</v>
      </c>
      <c r="H22" s="4">
        <v>9714600</v>
      </c>
      <c r="I22" t="s">
        <v>26</v>
      </c>
      <c r="J22" t="s">
        <v>76</v>
      </c>
      <c r="K22" t="s">
        <v>77</v>
      </c>
      <c r="L22">
        <v>2025</v>
      </c>
      <c r="M22">
        <v>3</v>
      </c>
      <c r="N22" s="10" t="s">
        <v>245</v>
      </c>
    </row>
    <row r="23" spans="1:14" x14ac:dyDescent="0.25">
      <c r="A23" t="s">
        <v>110</v>
      </c>
      <c r="B23" s="9">
        <v>45729</v>
      </c>
      <c r="C23" t="s">
        <v>111</v>
      </c>
      <c r="D23" t="s">
        <v>7</v>
      </c>
      <c r="E23" t="s">
        <v>16</v>
      </c>
      <c r="F23" s="3">
        <v>57002</v>
      </c>
      <c r="G23" s="4">
        <v>249.9</v>
      </c>
      <c r="H23" s="4">
        <v>14244799.800000001</v>
      </c>
      <c r="I23" t="s">
        <v>37</v>
      </c>
      <c r="J23" t="s">
        <v>85</v>
      </c>
      <c r="K23" t="s">
        <v>86</v>
      </c>
      <c r="L23">
        <v>2025</v>
      </c>
      <c r="M23">
        <v>3</v>
      </c>
      <c r="N23" s="10" t="s">
        <v>245</v>
      </c>
    </row>
    <row r="24" spans="1:14" x14ac:dyDescent="0.25">
      <c r="A24" t="s">
        <v>112</v>
      </c>
      <c r="B24" s="9">
        <v>45731</v>
      </c>
      <c r="C24" t="s">
        <v>72</v>
      </c>
      <c r="D24" t="s">
        <v>33</v>
      </c>
      <c r="E24" t="s">
        <v>16</v>
      </c>
      <c r="F24" s="3">
        <v>120000</v>
      </c>
      <c r="G24" s="4">
        <v>129.9</v>
      </c>
      <c r="H24" s="4">
        <v>15588000</v>
      </c>
      <c r="I24" t="s">
        <v>23</v>
      </c>
      <c r="J24" t="s">
        <v>65</v>
      </c>
      <c r="K24" t="s">
        <v>66</v>
      </c>
      <c r="L24">
        <v>2025</v>
      </c>
      <c r="M24">
        <v>3</v>
      </c>
      <c r="N24" s="10" t="s">
        <v>245</v>
      </c>
    </row>
    <row r="25" spans="1:14" x14ac:dyDescent="0.25">
      <c r="A25" t="s">
        <v>113</v>
      </c>
      <c r="B25" s="9">
        <v>45736</v>
      </c>
      <c r="C25" t="s">
        <v>80</v>
      </c>
      <c r="D25" t="s">
        <v>49</v>
      </c>
      <c r="E25" t="s">
        <v>18</v>
      </c>
      <c r="F25" s="3">
        <v>80000</v>
      </c>
      <c r="G25" s="4">
        <v>42.9</v>
      </c>
      <c r="H25" s="4">
        <v>3432000</v>
      </c>
      <c r="I25" t="s">
        <v>26</v>
      </c>
      <c r="J25" t="s">
        <v>76</v>
      </c>
      <c r="K25" t="s">
        <v>77</v>
      </c>
      <c r="L25">
        <v>2025</v>
      </c>
      <c r="M25">
        <v>3</v>
      </c>
      <c r="N25" s="10" t="s">
        <v>245</v>
      </c>
    </row>
    <row r="26" spans="1:14" x14ac:dyDescent="0.25">
      <c r="A26" t="s">
        <v>114</v>
      </c>
      <c r="B26" s="9">
        <v>45742</v>
      </c>
      <c r="C26" t="s">
        <v>106</v>
      </c>
      <c r="D26" t="s">
        <v>52</v>
      </c>
      <c r="E26" t="s">
        <v>18</v>
      </c>
      <c r="F26" s="3">
        <v>78112</v>
      </c>
      <c r="G26" s="4">
        <v>54.9</v>
      </c>
      <c r="H26" s="4">
        <v>4288348.8</v>
      </c>
      <c r="I26" t="s">
        <v>34</v>
      </c>
      <c r="J26" t="s">
        <v>96</v>
      </c>
      <c r="K26" t="s">
        <v>97</v>
      </c>
      <c r="L26">
        <v>2025</v>
      </c>
      <c r="M26">
        <v>3</v>
      </c>
      <c r="N26" s="10" t="s">
        <v>245</v>
      </c>
    </row>
    <row r="27" spans="1:14" x14ac:dyDescent="0.25">
      <c r="A27" t="s">
        <v>115</v>
      </c>
      <c r="B27" s="9">
        <v>45743</v>
      </c>
      <c r="C27" t="s">
        <v>99</v>
      </c>
      <c r="D27" t="s">
        <v>36</v>
      </c>
      <c r="E27" t="s">
        <v>17</v>
      </c>
      <c r="F27" s="3">
        <v>45889</v>
      </c>
      <c r="G27" s="4">
        <v>134.9</v>
      </c>
      <c r="H27" s="4">
        <v>6190426.1000000006</v>
      </c>
      <c r="I27" t="s">
        <v>43</v>
      </c>
      <c r="J27" t="s">
        <v>88</v>
      </c>
      <c r="K27" t="s">
        <v>89</v>
      </c>
      <c r="L27">
        <v>2025</v>
      </c>
      <c r="M27">
        <v>3</v>
      </c>
      <c r="N27" s="10" t="s">
        <v>245</v>
      </c>
    </row>
    <row r="28" spans="1:14" x14ac:dyDescent="0.25">
      <c r="A28" t="s">
        <v>116</v>
      </c>
      <c r="B28" s="9">
        <v>45751</v>
      </c>
      <c r="C28" t="s">
        <v>84</v>
      </c>
      <c r="D28" t="s">
        <v>47</v>
      </c>
      <c r="E28" t="s">
        <v>17</v>
      </c>
      <c r="F28" s="3">
        <v>80000</v>
      </c>
      <c r="G28" s="4">
        <v>52.9</v>
      </c>
      <c r="H28" s="4">
        <v>4232000</v>
      </c>
      <c r="I28" t="s">
        <v>31</v>
      </c>
      <c r="J28" t="s">
        <v>73</v>
      </c>
      <c r="K28" t="s">
        <v>74</v>
      </c>
      <c r="L28">
        <v>2025</v>
      </c>
      <c r="M28">
        <v>4</v>
      </c>
      <c r="N28" s="10" t="s">
        <v>246</v>
      </c>
    </row>
    <row r="29" spans="1:14" x14ac:dyDescent="0.25">
      <c r="A29" t="s">
        <v>117</v>
      </c>
      <c r="B29" s="9">
        <v>45751</v>
      </c>
      <c r="C29" t="s">
        <v>111</v>
      </c>
      <c r="D29" t="s">
        <v>7</v>
      </c>
      <c r="E29" t="s">
        <v>16</v>
      </c>
      <c r="F29" s="3">
        <v>78112</v>
      </c>
      <c r="G29" s="4">
        <v>249.9</v>
      </c>
      <c r="H29" s="4">
        <v>19520188.800000001</v>
      </c>
      <c r="I29" t="s">
        <v>23</v>
      </c>
      <c r="J29" t="s">
        <v>65</v>
      </c>
      <c r="K29" t="s">
        <v>66</v>
      </c>
      <c r="L29">
        <v>2025</v>
      </c>
      <c r="M29">
        <v>4</v>
      </c>
      <c r="N29" s="10" t="s">
        <v>246</v>
      </c>
    </row>
    <row r="30" spans="1:14" x14ac:dyDescent="0.25">
      <c r="A30" t="s">
        <v>118</v>
      </c>
      <c r="B30" s="9">
        <v>45752</v>
      </c>
      <c r="C30" t="s">
        <v>70</v>
      </c>
      <c r="D30" t="s">
        <v>46</v>
      </c>
      <c r="E30" t="s">
        <v>17</v>
      </c>
      <c r="F30" s="3">
        <v>45889</v>
      </c>
      <c r="G30" s="4">
        <v>74.900000000000006</v>
      </c>
      <c r="H30" s="4">
        <v>3437086.1</v>
      </c>
      <c r="I30" t="s">
        <v>43</v>
      </c>
      <c r="J30" t="s">
        <v>88</v>
      </c>
      <c r="K30" t="s">
        <v>89</v>
      </c>
      <c r="L30">
        <v>2025</v>
      </c>
      <c r="M30">
        <v>4</v>
      </c>
      <c r="N30" s="10" t="s">
        <v>246</v>
      </c>
    </row>
    <row r="31" spans="1:14" x14ac:dyDescent="0.25">
      <c r="A31" t="s">
        <v>119</v>
      </c>
      <c r="B31" s="9">
        <v>45752</v>
      </c>
      <c r="C31" t="s">
        <v>102</v>
      </c>
      <c r="D31" t="s">
        <v>42</v>
      </c>
      <c r="E31" t="s">
        <v>18</v>
      </c>
      <c r="F31" s="3">
        <v>55658</v>
      </c>
      <c r="G31" s="4">
        <v>99.9</v>
      </c>
      <c r="H31" s="4">
        <v>5560234.2000000002</v>
      </c>
      <c r="I31" t="s">
        <v>40</v>
      </c>
      <c r="J31" t="s">
        <v>81</v>
      </c>
      <c r="K31" t="s">
        <v>82</v>
      </c>
      <c r="L31">
        <v>2025</v>
      </c>
      <c r="M31">
        <v>4</v>
      </c>
      <c r="N31" s="10" t="s">
        <v>246</v>
      </c>
    </row>
    <row r="32" spans="1:14" x14ac:dyDescent="0.25">
      <c r="A32" t="s">
        <v>120</v>
      </c>
      <c r="B32" s="9">
        <v>45754</v>
      </c>
      <c r="C32" t="s">
        <v>91</v>
      </c>
      <c r="D32" t="s">
        <v>39</v>
      </c>
      <c r="E32" t="s">
        <v>16</v>
      </c>
      <c r="F32" s="3">
        <v>45000</v>
      </c>
      <c r="G32" s="4">
        <v>179.9</v>
      </c>
      <c r="H32" s="4">
        <v>8095500</v>
      </c>
      <c r="I32" t="s">
        <v>43</v>
      </c>
      <c r="J32" t="s">
        <v>88</v>
      </c>
      <c r="K32" t="s">
        <v>89</v>
      </c>
      <c r="L32">
        <v>2025</v>
      </c>
      <c r="M32">
        <v>4</v>
      </c>
      <c r="N32" s="10" t="s">
        <v>246</v>
      </c>
    </row>
    <row r="33" spans="1:14" x14ac:dyDescent="0.25">
      <c r="A33" t="s">
        <v>121</v>
      </c>
      <c r="B33" s="9">
        <v>45754</v>
      </c>
      <c r="C33" t="s">
        <v>64</v>
      </c>
      <c r="D33" t="s">
        <v>25</v>
      </c>
      <c r="E33" t="s">
        <v>16</v>
      </c>
      <c r="F33" s="3">
        <v>75000</v>
      </c>
      <c r="G33" s="4">
        <v>289.89999999999998</v>
      </c>
      <c r="H33" s="4">
        <v>21742500</v>
      </c>
      <c r="I33" t="s">
        <v>43</v>
      </c>
      <c r="J33" t="s">
        <v>88</v>
      </c>
      <c r="K33" t="s">
        <v>89</v>
      </c>
      <c r="L33">
        <v>2025</v>
      </c>
      <c r="M33">
        <v>4</v>
      </c>
      <c r="N33" s="10" t="s">
        <v>246</v>
      </c>
    </row>
    <row r="34" spans="1:14" x14ac:dyDescent="0.25">
      <c r="A34" t="s">
        <v>122</v>
      </c>
      <c r="B34" s="9">
        <v>45757</v>
      </c>
      <c r="C34" t="s">
        <v>72</v>
      </c>
      <c r="D34" t="s">
        <v>33</v>
      </c>
      <c r="E34" t="s">
        <v>16</v>
      </c>
      <c r="F34" s="3">
        <v>120000</v>
      </c>
      <c r="G34" s="4">
        <v>129.9</v>
      </c>
      <c r="H34" s="4">
        <v>15588000</v>
      </c>
      <c r="I34" t="s">
        <v>23</v>
      </c>
      <c r="J34" t="s">
        <v>65</v>
      </c>
      <c r="K34" t="s">
        <v>66</v>
      </c>
      <c r="L34">
        <v>2025</v>
      </c>
      <c r="M34">
        <v>4</v>
      </c>
      <c r="N34" s="10" t="s">
        <v>246</v>
      </c>
    </row>
    <row r="35" spans="1:14" x14ac:dyDescent="0.25">
      <c r="A35" t="s">
        <v>123</v>
      </c>
      <c r="B35" s="9">
        <v>45758</v>
      </c>
      <c r="C35" t="s">
        <v>108</v>
      </c>
      <c r="D35" t="s">
        <v>28</v>
      </c>
      <c r="E35" t="s">
        <v>16</v>
      </c>
      <c r="F35" s="3">
        <v>80000</v>
      </c>
      <c r="G35" s="4">
        <v>149.9</v>
      </c>
      <c r="H35" s="4">
        <v>11992000</v>
      </c>
      <c r="I35" t="s">
        <v>26</v>
      </c>
      <c r="J35" t="s">
        <v>76</v>
      </c>
      <c r="K35" t="s">
        <v>77</v>
      </c>
      <c r="L35">
        <v>2025</v>
      </c>
      <c r="M35">
        <v>4</v>
      </c>
      <c r="N35" s="10" t="s">
        <v>246</v>
      </c>
    </row>
    <row r="36" spans="1:14" x14ac:dyDescent="0.25">
      <c r="A36" t="s">
        <v>124</v>
      </c>
      <c r="B36" s="9">
        <v>45762</v>
      </c>
      <c r="C36" t="s">
        <v>102</v>
      </c>
      <c r="D36" t="s">
        <v>42</v>
      </c>
      <c r="E36" t="s">
        <v>18</v>
      </c>
      <c r="F36" s="3">
        <v>78112</v>
      </c>
      <c r="G36" s="4">
        <v>99.9</v>
      </c>
      <c r="H36" s="4">
        <v>7803388.8000000007</v>
      </c>
      <c r="I36" t="s">
        <v>26</v>
      </c>
      <c r="J36" t="s">
        <v>76</v>
      </c>
      <c r="K36" t="s">
        <v>77</v>
      </c>
      <c r="L36">
        <v>2025</v>
      </c>
      <c r="M36">
        <v>4</v>
      </c>
      <c r="N36" s="10" t="s">
        <v>246</v>
      </c>
    </row>
    <row r="37" spans="1:14" x14ac:dyDescent="0.25">
      <c r="A37" t="s">
        <v>125</v>
      </c>
      <c r="B37" s="9">
        <v>45763</v>
      </c>
      <c r="C37" t="s">
        <v>70</v>
      </c>
      <c r="D37" t="s">
        <v>46</v>
      </c>
      <c r="E37" t="s">
        <v>17</v>
      </c>
      <c r="F37" s="3">
        <v>80000</v>
      </c>
      <c r="G37" s="4">
        <v>74.900000000000006</v>
      </c>
      <c r="H37" s="4">
        <v>5992000</v>
      </c>
      <c r="I37" t="s">
        <v>43</v>
      </c>
      <c r="J37" t="s">
        <v>88</v>
      </c>
      <c r="K37" t="s">
        <v>89</v>
      </c>
      <c r="L37">
        <v>2025</v>
      </c>
      <c r="M37">
        <v>4</v>
      </c>
      <c r="N37" s="10" t="s">
        <v>246</v>
      </c>
    </row>
    <row r="38" spans="1:14" x14ac:dyDescent="0.25">
      <c r="A38" t="s">
        <v>126</v>
      </c>
      <c r="B38" s="9">
        <v>45766</v>
      </c>
      <c r="C38" t="s">
        <v>106</v>
      </c>
      <c r="D38" t="s">
        <v>52</v>
      </c>
      <c r="E38" t="s">
        <v>18</v>
      </c>
      <c r="F38" s="3">
        <v>78112</v>
      </c>
      <c r="G38" s="4">
        <v>54.9</v>
      </c>
      <c r="H38" s="4">
        <v>4288348.8</v>
      </c>
      <c r="I38" t="s">
        <v>23</v>
      </c>
      <c r="J38" t="s">
        <v>65</v>
      </c>
      <c r="K38" t="s">
        <v>66</v>
      </c>
      <c r="L38">
        <v>2025</v>
      </c>
      <c r="M38">
        <v>4</v>
      </c>
      <c r="N38" s="10" t="s">
        <v>246</v>
      </c>
    </row>
    <row r="39" spans="1:14" x14ac:dyDescent="0.25">
      <c r="A39" t="s">
        <v>127</v>
      </c>
      <c r="B39" s="9">
        <v>45767</v>
      </c>
      <c r="C39" t="s">
        <v>111</v>
      </c>
      <c r="D39" t="s">
        <v>7</v>
      </c>
      <c r="E39" t="s">
        <v>16</v>
      </c>
      <c r="F39" s="3">
        <v>45889</v>
      </c>
      <c r="G39" s="4">
        <v>249.9</v>
      </c>
      <c r="H39" s="4">
        <v>11467661.1</v>
      </c>
      <c r="I39" t="s">
        <v>40</v>
      </c>
      <c r="J39" t="s">
        <v>81</v>
      </c>
      <c r="K39" t="s">
        <v>82</v>
      </c>
      <c r="L39">
        <v>2025</v>
      </c>
      <c r="M39">
        <v>4</v>
      </c>
      <c r="N39" s="10" t="s">
        <v>246</v>
      </c>
    </row>
    <row r="40" spans="1:14" x14ac:dyDescent="0.25">
      <c r="A40" t="s">
        <v>128</v>
      </c>
      <c r="B40" s="9">
        <v>45773</v>
      </c>
      <c r="C40" t="s">
        <v>84</v>
      </c>
      <c r="D40" t="s">
        <v>47</v>
      </c>
      <c r="E40" t="s">
        <v>17</v>
      </c>
      <c r="F40" s="3">
        <v>55658</v>
      </c>
      <c r="G40" s="4">
        <v>52.9</v>
      </c>
      <c r="H40" s="4">
        <v>2944308.2</v>
      </c>
      <c r="I40" t="s">
        <v>37</v>
      </c>
      <c r="J40" t="s">
        <v>85</v>
      </c>
      <c r="K40" t="s">
        <v>86</v>
      </c>
      <c r="L40">
        <v>2025</v>
      </c>
      <c r="M40">
        <v>4</v>
      </c>
      <c r="N40" s="10" t="s">
        <v>246</v>
      </c>
    </row>
    <row r="41" spans="1:14" x14ac:dyDescent="0.25">
      <c r="A41" t="s">
        <v>129</v>
      </c>
      <c r="B41" s="9">
        <v>45775</v>
      </c>
      <c r="C41" t="s">
        <v>130</v>
      </c>
      <c r="D41" t="s">
        <v>48</v>
      </c>
      <c r="E41" t="s">
        <v>16</v>
      </c>
      <c r="F41" s="3">
        <v>45889</v>
      </c>
      <c r="G41" s="4">
        <v>139.9</v>
      </c>
      <c r="H41" s="4">
        <v>6419871.1000000006</v>
      </c>
      <c r="I41" t="s">
        <v>37</v>
      </c>
      <c r="J41" t="s">
        <v>85</v>
      </c>
      <c r="K41" t="s">
        <v>86</v>
      </c>
      <c r="L41">
        <v>2025</v>
      </c>
      <c r="M41">
        <v>4</v>
      </c>
      <c r="N41" s="10" t="s">
        <v>246</v>
      </c>
    </row>
    <row r="42" spans="1:14" x14ac:dyDescent="0.25">
      <c r="A42" t="s">
        <v>131</v>
      </c>
      <c r="B42" s="9">
        <v>45781</v>
      </c>
      <c r="C42" t="s">
        <v>80</v>
      </c>
      <c r="D42" t="s">
        <v>49</v>
      </c>
      <c r="E42" t="s">
        <v>18</v>
      </c>
      <c r="F42" s="3">
        <v>55658</v>
      </c>
      <c r="G42" s="4">
        <v>42.9</v>
      </c>
      <c r="H42" s="4">
        <v>2387728.2000000002</v>
      </c>
      <c r="I42" t="s">
        <v>31</v>
      </c>
      <c r="J42" t="s">
        <v>73</v>
      </c>
      <c r="K42" t="s">
        <v>74</v>
      </c>
      <c r="L42">
        <v>2025</v>
      </c>
      <c r="M42">
        <v>5</v>
      </c>
      <c r="N42" s="11" t="s">
        <v>247</v>
      </c>
    </row>
    <row r="43" spans="1:14" x14ac:dyDescent="0.25">
      <c r="A43" t="s">
        <v>132</v>
      </c>
      <c r="B43" s="9">
        <v>45782</v>
      </c>
      <c r="C43" t="s">
        <v>111</v>
      </c>
      <c r="D43" t="s">
        <v>7</v>
      </c>
      <c r="E43" t="s">
        <v>16</v>
      </c>
      <c r="F43" s="3">
        <v>45000</v>
      </c>
      <c r="G43" s="4">
        <v>249.9</v>
      </c>
      <c r="H43" s="4">
        <v>11245500</v>
      </c>
      <c r="I43" t="s">
        <v>23</v>
      </c>
      <c r="J43" t="s">
        <v>65</v>
      </c>
      <c r="K43" t="s">
        <v>66</v>
      </c>
      <c r="L43">
        <v>2025</v>
      </c>
      <c r="M43">
        <v>5</v>
      </c>
      <c r="N43" s="11" t="s">
        <v>247</v>
      </c>
    </row>
    <row r="44" spans="1:14" x14ac:dyDescent="0.25">
      <c r="A44" t="s">
        <v>133</v>
      </c>
      <c r="B44" s="9">
        <v>45784</v>
      </c>
      <c r="C44" t="s">
        <v>70</v>
      </c>
      <c r="D44" t="s">
        <v>46</v>
      </c>
      <c r="E44" t="s">
        <v>17</v>
      </c>
      <c r="F44" s="3">
        <v>75000</v>
      </c>
      <c r="G44" s="4">
        <v>74.900000000000006</v>
      </c>
      <c r="H44" s="4">
        <v>5617500</v>
      </c>
      <c r="I44" t="s">
        <v>26</v>
      </c>
      <c r="J44" t="s">
        <v>76</v>
      </c>
      <c r="K44" t="s">
        <v>77</v>
      </c>
      <c r="L44">
        <v>2025</v>
      </c>
      <c r="M44">
        <v>5</v>
      </c>
      <c r="N44" s="11" t="s">
        <v>247</v>
      </c>
    </row>
    <row r="45" spans="1:14" x14ac:dyDescent="0.25">
      <c r="A45" t="s">
        <v>134</v>
      </c>
      <c r="B45" s="9">
        <v>45795</v>
      </c>
      <c r="C45" t="s">
        <v>111</v>
      </c>
      <c r="D45" t="s">
        <v>7</v>
      </c>
      <c r="E45" t="s">
        <v>16</v>
      </c>
      <c r="F45" s="3">
        <v>120000</v>
      </c>
      <c r="G45" s="4">
        <v>249.9</v>
      </c>
      <c r="H45" s="4">
        <v>29988000</v>
      </c>
      <c r="I45" t="s">
        <v>23</v>
      </c>
      <c r="J45" t="s">
        <v>65</v>
      </c>
      <c r="K45" t="s">
        <v>66</v>
      </c>
      <c r="L45">
        <v>2025</v>
      </c>
      <c r="M45">
        <v>5</v>
      </c>
      <c r="N45" s="11" t="s">
        <v>247</v>
      </c>
    </row>
    <row r="46" spans="1:14" x14ac:dyDescent="0.25">
      <c r="A46" t="s">
        <v>135</v>
      </c>
      <c r="B46" s="9">
        <v>45795</v>
      </c>
      <c r="C46" t="s">
        <v>136</v>
      </c>
      <c r="D46" t="s">
        <v>50</v>
      </c>
      <c r="E46" t="s">
        <v>17</v>
      </c>
      <c r="F46" s="3">
        <v>45000</v>
      </c>
      <c r="G46" s="4">
        <v>46.9</v>
      </c>
      <c r="H46" s="4">
        <v>2110500</v>
      </c>
      <c r="I46" t="s">
        <v>31</v>
      </c>
      <c r="J46" t="s">
        <v>73</v>
      </c>
      <c r="K46" t="s">
        <v>74</v>
      </c>
      <c r="L46">
        <v>2025</v>
      </c>
      <c r="M46">
        <v>5</v>
      </c>
      <c r="N46" s="11" t="s">
        <v>247</v>
      </c>
    </row>
    <row r="47" spans="1:14" x14ac:dyDescent="0.25">
      <c r="A47" t="s">
        <v>137</v>
      </c>
      <c r="B47" s="9">
        <v>45799</v>
      </c>
      <c r="C47" t="s">
        <v>68</v>
      </c>
      <c r="D47" t="s">
        <v>30</v>
      </c>
      <c r="E47" t="s">
        <v>18</v>
      </c>
      <c r="F47" s="3">
        <v>75000</v>
      </c>
      <c r="G47" s="4">
        <v>149.9</v>
      </c>
      <c r="H47" s="4">
        <v>11242500</v>
      </c>
      <c r="I47" t="s">
        <v>29</v>
      </c>
      <c r="J47" t="s">
        <v>65</v>
      </c>
      <c r="K47" t="s">
        <v>66</v>
      </c>
      <c r="L47">
        <v>2025</v>
      </c>
      <c r="M47">
        <v>5</v>
      </c>
      <c r="N47" s="11" t="s">
        <v>247</v>
      </c>
    </row>
    <row r="48" spans="1:14" x14ac:dyDescent="0.25">
      <c r="A48" t="s">
        <v>138</v>
      </c>
      <c r="B48" s="9">
        <v>45800</v>
      </c>
      <c r="C48" t="s">
        <v>68</v>
      </c>
      <c r="D48" t="s">
        <v>30</v>
      </c>
      <c r="E48" t="s">
        <v>18</v>
      </c>
      <c r="F48" s="3">
        <v>120000</v>
      </c>
      <c r="G48" s="4">
        <v>149.9</v>
      </c>
      <c r="H48" s="4">
        <v>17988000</v>
      </c>
      <c r="I48" t="s">
        <v>26</v>
      </c>
      <c r="J48" t="s">
        <v>76</v>
      </c>
      <c r="K48" t="s">
        <v>77</v>
      </c>
      <c r="L48">
        <v>2025</v>
      </c>
      <c r="M48">
        <v>5</v>
      </c>
      <c r="N48" s="11" t="s">
        <v>247</v>
      </c>
    </row>
    <row r="49" spans="1:14" x14ac:dyDescent="0.25">
      <c r="A49" t="s">
        <v>139</v>
      </c>
      <c r="B49" s="9">
        <v>45803</v>
      </c>
      <c r="C49" t="s">
        <v>84</v>
      </c>
      <c r="D49" t="s">
        <v>47</v>
      </c>
      <c r="E49" t="s">
        <v>17</v>
      </c>
      <c r="F49" s="3">
        <v>80000</v>
      </c>
      <c r="G49" s="4">
        <v>52.9</v>
      </c>
      <c r="H49" s="4">
        <v>4232000</v>
      </c>
      <c r="I49" t="s">
        <v>31</v>
      </c>
      <c r="J49" t="s">
        <v>73</v>
      </c>
      <c r="K49" t="s">
        <v>74</v>
      </c>
      <c r="L49">
        <v>2025</v>
      </c>
      <c r="M49">
        <v>5</v>
      </c>
      <c r="N49" s="11" t="s">
        <v>247</v>
      </c>
    </row>
    <row r="50" spans="1:14" x14ac:dyDescent="0.25">
      <c r="A50" t="s">
        <v>140</v>
      </c>
      <c r="B50" s="9">
        <v>45804</v>
      </c>
      <c r="C50" t="s">
        <v>141</v>
      </c>
      <c r="D50" t="s">
        <v>45</v>
      </c>
      <c r="E50" t="s">
        <v>17</v>
      </c>
      <c r="F50" s="3">
        <v>78112</v>
      </c>
      <c r="G50" s="4">
        <v>119.9</v>
      </c>
      <c r="H50" s="4">
        <v>9365628.8000000007</v>
      </c>
      <c r="I50" t="s">
        <v>26</v>
      </c>
      <c r="J50" t="s">
        <v>76</v>
      </c>
      <c r="K50" t="s">
        <v>77</v>
      </c>
      <c r="L50">
        <v>2025</v>
      </c>
      <c r="M50">
        <v>5</v>
      </c>
      <c r="N50" s="11" t="s">
        <v>247</v>
      </c>
    </row>
    <row r="51" spans="1:14" x14ac:dyDescent="0.25">
      <c r="A51" t="s">
        <v>142</v>
      </c>
      <c r="B51" s="9">
        <v>45807</v>
      </c>
      <c r="C51" t="s">
        <v>106</v>
      </c>
      <c r="D51" t="s">
        <v>52</v>
      </c>
      <c r="E51" t="s">
        <v>18</v>
      </c>
      <c r="F51" s="3">
        <v>80000</v>
      </c>
      <c r="G51" s="4">
        <v>54.9</v>
      </c>
      <c r="H51" s="4">
        <v>4392000</v>
      </c>
      <c r="I51" t="s">
        <v>29</v>
      </c>
      <c r="J51" t="s">
        <v>65</v>
      </c>
      <c r="K51" t="s">
        <v>66</v>
      </c>
      <c r="L51">
        <v>2025</v>
      </c>
      <c r="M51">
        <v>5</v>
      </c>
      <c r="N51" s="11" t="s">
        <v>247</v>
      </c>
    </row>
    <row r="52" spans="1:14" x14ac:dyDescent="0.25">
      <c r="A52" t="s">
        <v>143</v>
      </c>
      <c r="B52" s="9">
        <v>45810</v>
      </c>
      <c r="C52" t="s">
        <v>84</v>
      </c>
      <c r="D52" t="s">
        <v>47</v>
      </c>
      <c r="E52" t="s">
        <v>17</v>
      </c>
      <c r="F52" s="3">
        <v>78112</v>
      </c>
      <c r="G52" s="4">
        <v>52.9</v>
      </c>
      <c r="H52" s="4">
        <v>4132124.8</v>
      </c>
      <c r="I52" t="s">
        <v>29</v>
      </c>
      <c r="J52" t="s">
        <v>65</v>
      </c>
      <c r="K52" t="s">
        <v>66</v>
      </c>
      <c r="L52">
        <v>2025</v>
      </c>
      <c r="M52">
        <v>6</v>
      </c>
      <c r="N52" t="s">
        <v>248</v>
      </c>
    </row>
    <row r="53" spans="1:14" x14ac:dyDescent="0.25">
      <c r="A53" t="s">
        <v>144</v>
      </c>
      <c r="B53" s="9">
        <v>45811</v>
      </c>
      <c r="C53" t="s">
        <v>108</v>
      </c>
      <c r="D53" t="s">
        <v>28</v>
      </c>
      <c r="E53" t="s">
        <v>16</v>
      </c>
      <c r="F53" s="3">
        <v>45889</v>
      </c>
      <c r="G53" s="4">
        <v>149.9</v>
      </c>
      <c r="H53" s="4">
        <v>6878761.1000000006</v>
      </c>
      <c r="I53" t="s">
        <v>29</v>
      </c>
      <c r="J53" t="s">
        <v>65</v>
      </c>
      <c r="K53" t="s">
        <v>66</v>
      </c>
      <c r="L53">
        <v>2025</v>
      </c>
      <c r="M53">
        <v>6</v>
      </c>
      <c r="N53" t="s">
        <v>248</v>
      </c>
    </row>
    <row r="54" spans="1:14" x14ac:dyDescent="0.25">
      <c r="A54" t="s">
        <v>145</v>
      </c>
      <c r="B54" s="9">
        <v>45812</v>
      </c>
      <c r="C54" t="s">
        <v>108</v>
      </c>
      <c r="D54" t="s">
        <v>28</v>
      </c>
      <c r="E54" t="s">
        <v>16</v>
      </c>
      <c r="F54" s="3">
        <v>55658</v>
      </c>
      <c r="G54" s="4">
        <v>149.9</v>
      </c>
      <c r="H54" s="4">
        <v>8343134.2000000002</v>
      </c>
      <c r="I54" t="s">
        <v>43</v>
      </c>
      <c r="J54" t="s">
        <v>88</v>
      </c>
      <c r="K54" t="s">
        <v>89</v>
      </c>
      <c r="L54">
        <v>2025</v>
      </c>
      <c r="M54">
        <v>6</v>
      </c>
      <c r="N54" t="s">
        <v>248</v>
      </c>
    </row>
    <row r="55" spans="1:14" x14ac:dyDescent="0.25">
      <c r="A55" t="s">
        <v>146</v>
      </c>
      <c r="B55" s="9">
        <v>45813</v>
      </c>
      <c r="C55" t="s">
        <v>70</v>
      </c>
      <c r="D55" t="s">
        <v>46</v>
      </c>
      <c r="E55" t="s">
        <v>17</v>
      </c>
      <c r="F55" s="3">
        <v>45000</v>
      </c>
      <c r="G55" s="4">
        <v>74.900000000000006</v>
      </c>
      <c r="H55" s="4">
        <v>3370500</v>
      </c>
      <c r="I55" t="s">
        <v>37</v>
      </c>
      <c r="J55" t="s">
        <v>85</v>
      </c>
      <c r="K55" t="s">
        <v>86</v>
      </c>
      <c r="L55">
        <v>2025</v>
      </c>
      <c r="M55">
        <v>6</v>
      </c>
      <c r="N55" t="s">
        <v>248</v>
      </c>
    </row>
    <row r="56" spans="1:14" x14ac:dyDescent="0.25">
      <c r="A56" t="s">
        <v>147</v>
      </c>
      <c r="B56" s="9">
        <v>45815</v>
      </c>
      <c r="C56" t="s">
        <v>68</v>
      </c>
      <c r="D56" t="s">
        <v>30</v>
      </c>
      <c r="E56" t="s">
        <v>18</v>
      </c>
      <c r="F56" s="3">
        <v>75000</v>
      </c>
      <c r="G56" s="4">
        <v>149.9</v>
      </c>
      <c r="H56" s="4">
        <v>11242500</v>
      </c>
      <c r="I56" t="s">
        <v>34</v>
      </c>
      <c r="J56" t="s">
        <v>96</v>
      </c>
      <c r="K56" t="s">
        <v>97</v>
      </c>
      <c r="L56">
        <v>2025</v>
      </c>
      <c r="M56">
        <v>6</v>
      </c>
      <c r="N56" t="s">
        <v>248</v>
      </c>
    </row>
    <row r="57" spans="1:14" x14ac:dyDescent="0.25">
      <c r="A57" t="s">
        <v>148</v>
      </c>
      <c r="B57" s="9">
        <v>45815</v>
      </c>
      <c r="C57" t="s">
        <v>141</v>
      </c>
      <c r="D57" t="s">
        <v>45</v>
      </c>
      <c r="E57" t="s">
        <v>17</v>
      </c>
      <c r="F57" s="3">
        <v>120000</v>
      </c>
      <c r="G57" s="4">
        <v>119.9</v>
      </c>
      <c r="H57" s="4">
        <v>14388000</v>
      </c>
      <c r="I57" t="s">
        <v>40</v>
      </c>
      <c r="J57" t="s">
        <v>81</v>
      </c>
      <c r="K57" t="s">
        <v>82</v>
      </c>
      <c r="L57">
        <v>2025</v>
      </c>
      <c r="M57">
        <v>6</v>
      </c>
      <c r="N57" t="s">
        <v>248</v>
      </c>
    </row>
    <row r="58" spans="1:14" x14ac:dyDescent="0.25">
      <c r="A58" t="s">
        <v>149</v>
      </c>
      <c r="B58" s="9">
        <v>45816</v>
      </c>
      <c r="C58" t="s">
        <v>136</v>
      </c>
      <c r="D58" t="s">
        <v>50</v>
      </c>
      <c r="E58" t="s">
        <v>17</v>
      </c>
      <c r="F58" s="3">
        <v>80000</v>
      </c>
      <c r="G58" s="4">
        <v>46.9</v>
      </c>
      <c r="H58" s="4">
        <v>3752000</v>
      </c>
      <c r="I58" t="s">
        <v>26</v>
      </c>
      <c r="J58" t="s">
        <v>76</v>
      </c>
      <c r="K58" t="s">
        <v>77</v>
      </c>
      <c r="L58">
        <v>2025</v>
      </c>
      <c r="M58">
        <v>6</v>
      </c>
      <c r="N58" t="s">
        <v>248</v>
      </c>
    </row>
    <row r="59" spans="1:14" x14ac:dyDescent="0.25">
      <c r="A59" t="s">
        <v>150</v>
      </c>
      <c r="B59" s="9">
        <v>45817</v>
      </c>
      <c r="C59" t="s">
        <v>136</v>
      </c>
      <c r="D59" t="s">
        <v>50</v>
      </c>
      <c r="E59" t="s">
        <v>17</v>
      </c>
      <c r="F59" s="3">
        <v>78112</v>
      </c>
      <c r="G59" s="4">
        <v>46.9</v>
      </c>
      <c r="H59" s="4">
        <v>3663452.8</v>
      </c>
      <c r="I59" t="s">
        <v>31</v>
      </c>
      <c r="J59" t="s">
        <v>73</v>
      </c>
      <c r="K59" t="s">
        <v>74</v>
      </c>
      <c r="L59">
        <v>2025</v>
      </c>
      <c r="M59">
        <v>6</v>
      </c>
      <c r="N59" t="s">
        <v>248</v>
      </c>
    </row>
    <row r="60" spans="1:14" x14ac:dyDescent="0.25">
      <c r="A60" t="s">
        <v>151</v>
      </c>
      <c r="B60" s="9">
        <v>45819</v>
      </c>
      <c r="C60" t="s">
        <v>84</v>
      </c>
      <c r="D60" t="s">
        <v>47</v>
      </c>
      <c r="E60" t="s">
        <v>17</v>
      </c>
      <c r="F60" s="3">
        <v>80000</v>
      </c>
      <c r="G60" s="4">
        <v>52.9</v>
      </c>
      <c r="H60" s="4">
        <v>4232000</v>
      </c>
      <c r="I60" t="s">
        <v>26</v>
      </c>
      <c r="J60" t="s">
        <v>76</v>
      </c>
      <c r="K60" t="s">
        <v>77</v>
      </c>
      <c r="L60">
        <v>2025</v>
      </c>
      <c r="M60">
        <v>6</v>
      </c>
      <c r="N60" t="s">
        <v>248</v>
      </c>
    </row>
    <row r="61" spans="1:14" x14ac:dyDescent="0.25">
      <c r="A61" t="s">
        <v>152</v>
      </c>
      <c r="B61" s="9">
        <v>45819</v>
      </c>
      <c r="C61" t="s">
        <v>141</v>
      </c>
      <c r="D61" t="s">
        <v>45</v>
      </c>
      <c r="E61" t="s">
        <v>17</v>
      </c>
      <c r="F61" s="3">
        <v>78112</v>
      </c>
      <c r="G61" s="4">
        <v>119.9</v>
      </c>
      <c r="H61" s="4">
        <v>9365628.8000000007</v>
      </c>
      <c r="I61" t="s">
        <v>29</v>
      </c>
      <c r="J61" t="s">
        <v>65</v>
      </c>
      <c r="K61" t="s">
        <v>66</v>
      </c>
      <c r="L61">
        <v>2025</v>
      </c>
      <c r="M61">
        <v>6</v>
      </c>
      <c r="N61" t="s">
        <v>248</v>
      </c>
    </row>
    <row r="62" spans="1:14" x14ac:dyDescent="0.25">
      <c r="A62" t="s">
        <v>153</v>
      </c>
      <c r="B62" s="9">
        <v>45821</v>
      </c>
      <c r="C62" t="s">
        <v>64</v>
      </c>
      <c r="D62" t="s">
        <v>25</v>
      </c>
      <c r="E62" t="s">
        <v>16</v>
      </c>
      <c r="F62" s="3">
        <v>45889</v>
      </c>
      <c r="G62" s="4">
        <v>289.89999999999998</v>
      </c>
      <c r="H62" s="4">
        <v>13303221.1</v>
      </c>
      <c r="I62" t="s">
        <v>34</v>
      </c>
      <c r="J62" t="s">
        <v>96</v>
      </c>
      <c r="K62" t="s">
        <v>97</v>
      </c>
      <c r="L62">
        <v>2025</v>
      </c>
      <c r="M62">
        <v>6</v>
      </c>
      <c r="N62" t="s">
        <v>248</v>
      </c>
    </row>
    <row r="63" spans="1:14" x14ac:dyDescent="0.25">
      <c r="A63" t="s">
        <v>154</v>
      </c>
      <c r="B63" s="9">
        <v>45822</v>
      </c>
      <c r="C63" t="s">
        <v>99</v>
      </c>
      <c r="D63" t="s">
        <v>36</v>
      </c>
      <c r="E63" t="s">
        <v>17</v>
      </c>
      <c r="F63" s="3">
        <v>55658</v>
      </c>
      <c r="G63" s="4">
        <v>134.9</v>
      </c>
      <c r="H63" s="4">
        <v>7508264.2000000002</v>
      </c>
      <c r="I63" t="s">
        <v>29</v>
      </c>
      <c r="J63" t="s">
        <v>65</v>
      </c>
      <c r="K63" t="s">
        <v>66</v>
      </c>
      <c r="L63">
        <v>2025</v>
      </c>
      <c r="M63">
        <v>6</v>
      </c>
      <c r="N63" t="s">
        <v>248</v>
      </c>
    </row>
    <row r="64" spans="1:14" x14ac:dyDescent="0.25">
      <c r="A64" t="s">
        <v>155</v>
      </c>
      <c r="B64" s="9">
        <v>45824</v>
      </c>
      <c r="C64" t="s">
        <v>84</v>
      </c>
      <c r="D64" t="s">
        <v>47</v>
      </c>
      <c r="E64" t="s">
        <v>17</v>
      </c>
      <c r="F64" s="3">
        <v>45000</v>
      </c>
      <c r="G64" s="4">
        <v>52.9</v>
      </c>
      <c r="H64" s="4">
        <v>2380500</v>
      </c>
      <c r="I64" t="s">
        <v>23</v>
      </c>
      <c r="J64" t="s">
        <v>65</v>
      </c>
      <c r="K64" t="s">
        <v>66</v>
      </c>
      <c r="L64">
        <v>2025</v>
      </c>
      <c r="M64">
        <v>6</v>
      </c>
      <c r="N64" t="s">
        <v>248</v>
      </c>
    </row>
    <row r="65" spans="1:14" x14ac:dyDescent="0.25">
      <c r="A65" t="s">
        <v>156</v>
      </c>
      <c r="B65" s="9">
        <v>45827</v>
      </c>
      <c r="C65" t="s">
        <v>141</v>
      </c>
      <c r="D65" t="s">
        <v>45</v>
      </c>
      <c r="E65" t="s">
        <v>17</v>
      </c>
      <c r="F65" s="3">
        <v>75000</v>
      </c>
      <c r="G65" s="4">
        <v>119.9</v>
      </c>
      <c r="H65" s="4">
        <v>8992500</v>
      </c>
      <c r="I65" t="s">
        <v>31</v>
      </c>
      <c r="J65" t="s">
        <v>73</v>
      </c>
      <c r="K65" t="s">
        <v>74</v>
      </c>
      <c r="L65">
        <v>2025</v>
      </c>
      <c r="M65">
        <v>6</v>
      </c>
      <c r="N65" t="s">
        <v>248</v>
      </c>
    </row>
    <row r="66" spans="1:14" x14ac:dyDescent="0.25">
      <c r="A66" t="s">
        <v>157</v>
      </c>
      <c r="B66" s="9">
        <v>45827</v>
      </c>
      <c r="C66" t="s">
        <v>136</v>
      </c>
      <c r="D66" t="s">
        <v>50</v>
      </c>
      <c r="E66" t="s">
        <v>17</v>
      </c>
      <c r="F66" s="3">
        <v>120000</v>
      </c>
      <c r="G66" s="4">
        <v>46.9</v>
      </c>
      <c r="H66" s="4">
        <v>5628000</v>
      </c>
      <c r="I66" t="s">
        <v>31</v>
      </c>
      <c r="J66" t="s">
        <v>73</v>
      </c>
      <c r="K66" t="s">
        <v>74</v>
      </c>
      <c r="L66">
        <v>2025</v>
      </c>
      <c r="M66">
        <v>6</v>
      </c>
      <c r="N66" t="s">
        <v>248</v>
      </c>
    </row>
    <row r="67" spans="1:14" x14ac:dyDescent="0.25">
      <c r="A67" t="s">
        <v>158</v>
      </c>
      <c r="B67" s="9">
        <v>45827</v>
      </c>
      <c r="C67" t="s">
        <v>99</v>
      </c>
      <c r="D67" t="s">
        <v>36</v>
      </c>
      <c r="E67" t="s">
        <v>17</v>
      </c>
      <c r="F67" s="3">
        <v>80000</v>
      </c>
      <c r="G67" s="4">
        <v>134.9</v>
      </c>
      <c r="H67" s="4">
        <v>10792000</v>
      </c>
      <c r="I67" t="s">
        <v>23</v>
      </c>
      <c r="J67" t="s">
        <v>65</v>
      </c>
      <c r="K67" t="s">
        <v>66</v>
      </c>
      <c r="L67">
        <v>2025</v>
      </c>
      <c r="M67">
        <v>6</v>
      </c>
      <c r="N67" t="s">
        <v>248</v>
      </c>
    </row>
    <row r="68" spans="1:14" x14ac:dyDescent="0.25">
      <c r="A68" t="s">
        <v>159</v>
      </c>
      <c r="B68" s="9">
        <v>45829</v>
      </c>
      <c r="C68" t="s">
        <v>141</v>
      </c>
      <c r="D68" t="s">
        <v>45</v>
      </c>
      <c r="E68" t="s">
        <v>17</v>
      </c>
      <c r="F68" s="3">
        <v>78112</v>
      </c>
      <c r="G68" s="4">
        <v>119.9</v>
      </c>
      <c r="H68" s="4">
        <v>9365628.8000000007</v>
      </c>
      <c r="I68" t="s">
        <v>26</v>
      </c>
      <c r="J68" t="s">
        <v>76</v>
      </c>
      <c r="K68" t="s">
        <v>77</v>
      </c>
      <c r="L68">
        <v>2025</v>
      </c>
      <c r="M68">
        <v>6</v>
      </c>
      <c r="N68" t="s">
        <v>248</v>
      </c>
    </row>
    <row r="69" spans="1:14" x14ac:dyDescent="0.25">
      <c r="A69" t="s">
        <v>160</v>
      </c>
      <c r="B69" s="9">
        <v>45829</v>
      </c>
      <c r="C69" t="s">
        <v>80</v>
      </c>
      <c r="D69" t="s">
        <v>49</v>
      </c>
      <c r="E69" t="s">
        <v>18</v>
      </c>
      <c r="F69" s="3">
        <v>80000</v>
      </c>
      <c r="G69" s="4">
        <v>42.9</v>
      </c>
      <c r="H69" s="4">
        <v>3432000</v>
      </c>
      <c r="I69" t="s">
        <v>37</v>
      </c>
      <c r="J69" t="s">
        <v>85</v>
      </c>
      <c r="K69" t="s">
        <v>86</v>
      </c>
      <c r="L69">
        <v>2025</v>
      </c>
      <c r="M69">
        <v>6</v>
      </c>
      <c r="N69" t="s">
        <v>248</v>
      </c>
    </row>
    <row r="70" spans="1:14" x14ac:dyDescent="0.25">
      <c r="A70" t="s">
        <v>161</v>
      </c>
      <c r="B70" s="9">
        <v>45834</v>
      </c>
      <c r="C70" t="s">
        <v>84</v>
      </c>
      <c r="D70" t="s">
        <v>47</v>
      </c>
      <c r="E70" t="s">
        <v>17</v>
      </c>
      <c r="F70" s="3">
        <v>78112</v>
      </c>
      <c r="G70" s="4">
        <v>52.9</v>
      </c>
      <c r="H70" s="4">
        <v>4132124.8</v>
      </c>
      <c r="I70" t="s">
        <v>37</v>
      </c>
      <c r="J70" t="s">
        <v>85</v>
      </c>
      <c r="K70" t="s">
        <v>86</v>
      </c>
      <c r="L70">
        <v>2025</v>
      </c>
      <c r="M70">
        <v>6</v>
      </c>
      <c r="N70" t="s">
        <v>248</v>
      </c>
    </row>
    <row r="71" spans="1:14" x14ac:dyDescent="0.25">
      <c r="A71" t="s">
        <v>162</v>
      </c>
      <c r="B71" s="9">
        <v>45836</v>
      </c>
      <c r="C71" t="s">
        <v>91</v>
      </c>
      <c r="D71" t="s">
        <v>39</v>
      </c>
      <c r="E71" t="s">
        <v>16</v>
      </c>
      <c r="F71" s="3">
        <v>45889</v>
      </c>
      <c r="G71" s="4">
        <v>179.9</v>
      </c>
      <c r="H71" s="4">
        <v>8255431.1000000006</v>
      </c>
      <c r="I71" t="s">
        <v>34</v>
      </c>
      <c r="J71" t="s">
        <v>96</v>
      </c>
      <c r="K71" t="s">
        <v>97</v>
      </c>
      <c r="L71">
        <v>2025</v>
      </c>
      <c r="M71">
        <v>6</v>
      </c>
      <c r="N71" t="s">
        <v>248</v>
      </c>
    </row>
    <row r="72" spans="1:14" x14ac:dyDescent="0.25">
      <c r="A72" t="s">
        <v>163</v>
      </c>
      <c r="B72" s="9">
        <v>45838</v>
      </c>
      <c r="C72" t="s">
        <v>108</v>
      </c>
      <c r="D72" t="s">
        <v>28</v>
      </c>
      <c r="E72" t="s">
        <v>16</v>
      </c>
      <c r="F72" s="3">
        <v>55658</v>
      </c>
      <c r="G72" s="4">
        <v>149.9</v>
      </c>
      <c r="H72" s="4">
        <v>8343134.2000000002</v>
      </c>
      <c r="I72" t="s">
        <v>37</v>
      </c>
      <c r="J72" t="s">
        <v>85</v>
      </c>
      <c r="K72" t="s">
        <v>86</v>
      </c>
      <c r="L72">
        <v>2025</v>
      </c>
      <c r="M72">
        <v>6</v>
      </c>
      <c r="N72" t="s">
        <v>248</v>
      </c>
    </row>
    <row r="73" spans="1:14" x14ac:dyDescent="0.25">
      <c r="A73" t="s">
        <v>164</v>
      </c>
      <c r="B73" s="9">
        <v>45841</v>
      </c>
      <c r="C73" t="s">
        <v>130</v>
      </c>
      <c r="D73" t="s">
        <v>48</v>
      </c>
      <c r="E73" t="s">
        <v>16</v>
      </c>
      <c r="F73" s="3">
        <v>45000</v>
      </c>
      <c r="G73" s="4">
        <v>139.9</v>
      </c>
      <c r="H73" s="4">
        <v>6295500</v>
      </c>
      <c r="I73" t="s">
        <v>43</v>
      </c>
      <c r="J73" t="s">
        <v>88</v>
      </c>
      <c r="K73" t="s">
        <v>89</v>
      </c>
      <c r="L73">
        <v>2025</v>
      </c>
      <c r="M73">
        <v>7</v>
      </c>
      <c r="N73" t="s">
        <v>249</v>
      </c>
    </row>
    <row r="74" spans="1:14" x14ac:dyDescent="0.25">
      <c r="A74" t="s">
        <v>165</v>
      </c>
      <c r="B74" s="9">
        <v>45844</v>
      </c>
      <c r="C74" t="s">
        <v>108</v>
      </c>
      <c r="D74" t="s">
        <v>28</v>
      </c>
      <c r="E74" t="s">
        <v>16</v>
      </c>
      <c r="F74" s="3">
        <v>75000</v>
      </c>
      <c r="G74" s="4">
        <v>149.9</v>
      </c>
      <c r="H74" s="4">
        <v>11242500</v>
      </c>
      <c r="I74" t="s">
        <v>34</v>
      </c>
      <c r="J74" t="s">
        <v>96</v>
      </c>
      <c r="K74" t="s">
        <v>97</v>
      </c>
      <c r="L74">
        <v>2025</v>
      </c>
      <c r="M74">
        <v>7</v>
      </c>
      <c r="N74" t="s">
        <v>249</v>
      </c>
    </row>
    <row r="75" spans="1:14" x14ac:dyDescent="0.25">
      <c r="A75" t="s">
        <v>166</v>
      </c>
      <c r="B75" s="9">
        <v>45848</v>
      </c>
      <c r="C75" t="s">
        <v>99</v>
      </c>
      <c r="D75" t="s">
        <v>36</v>
      </c>
      <c r="E75" t="s">
        <v>17</v>
      </c>
      <c r="F75" s="3">
        <v>120000</v>
      </c>
      <c r="G75" s="4">
        <v>134.9</v>
      </c>
      <c r="H75" s="4">
        <v>16188000</v>
      </c>
      <c r="I75" t="s">
        <v>31</v>
      </c>
      <c r="J75" t="s">
        <v>73</v>
      </c>
      <c r="K75" t="s">
        <v>74</v>
      </c>
      <c r="L75">
        <v>2025</v>
      </c>
      <c r="M75">
        <v>7</v>
      </c>
      <c r="N75" t="s">
        <v>249</v>
      </c>
    </row>
    <row r="76" spans="1:14" x14ac:dyDescent="0.25">
      <c r="A76" t="s">
        <v>167</v>
      </c>
      <c r="B76" s="9">
        <v>45852</v>
      </c>
      <c r="C76" t="s">
        <v>68</v>
      </c>
      <c r="D76" t="s">
        <v>30</v>
      </c>
      <c r="E76" t="s">
        <v>18</v>
      </c>
      <c r="F76" s="3">
        <v>80000</v>
      </c>
      <c r="G76" s="4">
        <v>149.9</v>
      </c>
      <c r="H76" s="4">
        <v>11992000</v>
      </c>
      <c r="I76" t="s">
        <v>26</v>
      </c>
      <c r="J76" t="s">
        <v>76</v>
      </c>
      <c r="K76" t="s">
        <v>77</v>
      </c>
      <c r="L76">
        <v>2025</v>
      </c>
      <c r="M76">
        <v>7</v>
      </c>
      <c r="N76" t="s">
        <v>249</v>
      </c>
    </row>
    <row r="77" spans="1:14" x14ac:dyDescent="0.25">
      <c r="A77" t="s">
        <v>168</v>
      </c>
      <c r="B77" s="9">
        <v>45853</v>
      </c>
      <c r="C77" t="s">
        <v>84</v>
      </c>
      <c r="D77" t="s">
        <v>47</v>
      </c>
      <c r="E77" t="s">
        <v>17</v>
      </c>
      <c r="F77" s="3">
        <v>78112</v>
      </c>
      <c r="G77" s="4">
        <v>52.9</v>
      </c>
      <c r="H77" s="4">
        <v>4132124.8</v>
      </c>
      <c r="I77" t="s">
        <v>34</v>
      </c>
      <c r="J77" t="s">
        <v>96</v>
      </c>
      <c r="K77" t="s">
        <v>97</v>
      </c>
      <c r="L77">
        <v>2025</v>
      </c>
      <c r="M77">
        <v>7</v>
      </c>
      <c r="N77" t="s">
        <v>249</v>
      </c>
    </row>
    <row r="78" spans="1:14" x14ac:dyDescent="0.25">
      <c r="A78" t="s">
        <v>169</v>
      </c>
      <c r="B78" s="9">
        <v>45860</v>
      </c>
      <c r="C78" t="s">
        <v>99</v>
      </c>
      <c r="D78" t="s">
        <v>36</v>
      </c>
      <c r="E78" t="s">
        <v>17</v>
      </c>
      <c r="F78" s="3">
        <v>45000</v>
      </c>
      <c r="G78" s="4">
        <v>134.9</v>
      </c>
      <c r="H78" s="4">
        <v>6070500</v>
      </c>
      <c r="I78" t="s">
        <v>40</v>
      </c>
      <c r="J78" t="s">
        <v>81</v>
      </c>
      <c r="K78" t="s">
        <v>82</v>
      </c>
      <c r="L78">
        <v>2025</v>
      </c>
      <c r="M78">
        <v>7</v>
      </c>
      <c r="N78" t="s">
        <v>249</v>
      </c>
    </row>
    <row r="79" spans="1:14" x14ac:dyDescent="0.25">
      <c r="A79" t="s">
        <v>170</v>
      </c>
      <c r="B79" s="9">
        <v>45861</v>
      </c>
      <c r="C79" t="s">
        <v>80</v>
      </c>
      <c r="D79" t="s">
        <v>49</v>
      </c>
      <c r="E79" t="s">
        <v>18</v>
      </c>
      <c r="F79" s="3">
        <v>75000</v>
      </c>
      <c r="G79" s="4">
        <v>42.9</v>
      </c>
      <c r="H79" s="4">
        <v>3217500</v>
      </c>
      <c r="I79" t="s">
        <v>23</v>
      </c>
      <c r="J79" t="s">
        <v>65</v>
      </c>
      <c r="K79" t="s">
        <v>66</v>
      </c>
      <c r="L79">
        <v>2025</v>
      </c>
      <c r="M79">
        <v>7</v>
      </c>
      <c r="N79" t="s">
        <v>249</v>
      </c>
    </row>
    <row r="80" spans="1:14" x14ac:dyDescent="0.25">
      <c r="A80" t="s">
        <v>171</v>
      </c>
      <c r="B80" s="9">
        <v>45863</v>
      </c>
      <c r="C80" t="s">
        <v>72</v>
      </c>
      <c r="D80" t="s">
        <v>33</v>
      </c>
      <c r="E80" t="s">
        <v>16</v>
      </c>
      <c r="F80" s="3">
        <v>120000</v>
      </c>
      <c r="G80" s="4">
        <v>129.9</v>
      </c>
      <c r="H80" s="4">
        <v>15588000</v>
      </c>
      <c r="I80" t="s">
        <v>29</v>
      </c>
      <c r="J80" t="s">
        <v>65</v>
      </c>
      <c r="K80" t="s">
        <v>66</v>
      </c>
      <c r="L80">
        <v>2025</v>
      </c>
      <c r="M80">
        <v>7</v>
      </c>
      <c r="N80" t="s">
        <v>249</v>
      </c>
    </row>
    <row r="81" spans="1:14" x14ac:dyDescent="0.25">
      <c r="A81" t="s">
        <v>172</v>
      </c>
      <c r="B81" s="9">
        <v>45868</v>
      </c>
      <c r="C81" t="s">
        <v>68</v>
      </c>
      <c r="D81" t="s">
        <v>30</v>
      </c>
      <c r="E81" t="s">
        <v>18</v>
      </c>
      <c r="F81" s="3">
        <v>80000</v>
      </c>
      <c r="G81" s="4">
        <v>149.9</v>
      </c>
      <c r="H81" s="4">
        <v>11992000</v>
      </c>
      <c r="I81" t="s">
        <v>23</v>
      </c>
      <c r="J81" t="s">
        <v>65</v>
      </c>
      <c r="K81" t="s">
        <v>66</v>
      </c>
      <c r="L81">
        <v>2025</v>
      </c>
      <c r="M81">
        <v>7</v>
      </c>
      <c r="N81" t="s">
        <v>249</v>
      </c>
    </row>
    <row r="82" spans="1:14" x14ac:dyDescent="0.25">
      <c r="A82" t="s">
        <v>173</v>
      </c>
      <c r="B82" s="9">
        <v>45870</v>
      </c>
      <c r="C82" t="s">
        <v>84</v>
      </c>
      <c r="D82" t="s">
        <v>47</v>
      </c>
      <c r="E82" t="s">
        <v>17</v>
      </c>
      <c r="F82" s="3">
        <v>78112</v>
      </c>
      <c r="G82" s="4">
        <v>52.9</v>
      </c>
      <c r="H82" s="4">
        <v>4132124.8</v>
      </c>
      <c r="I82" t="s">
        <v>26</v>
      </c>
      <c r="J82" t="s">
        <v>76</v>
      </c>
      <c r="K82" t="s">
        <v>77</v>
      </c>
      <c r="L82">
        <v>2025</v>
      </c>
      <c r="M82">
        <v>8</v>
      </c>
      <c r="N82" t="s">
        <v>250</v>
      </c>
    </row>
    <row r="83" spans="1:14" x14ac:dyDescent="0.25">
      <c r="A83" t="s">
        <v>174</v>
      </c>
      <c r="B83" s="9">
        <v>45870</v>
      </c>
      <c r="C83" t="s">
        <v>108</v>
      </c>
      <c r="D83" t="s">
        <v>28</v>
      </c>
      <c r="E83" t="s">
        <v>16</v>
      </c>
      <c r="F83" s="3">
        <v>80000</v>
      </c>
      <c r="G83" s="4">
        <v>149.9</v>
      </c>
      <c r="H83" s="4">
        <v>11992000</v>
      </c>
      <c r="I83" t="s">
        <v>29</v>
      </c>
      <c r="J83" t="s">
        <v>65</v>
      </c>
      <c r="K83" t="s">
        <v>66</v>
      </c>
      <c r="L83">
        <v>2025</v>
      </c>
      <c r="M83">
        <v>8</v>
      </c>
      <c r="N83" t="s">
        <v>250</v>
      </c>
    </row>
    <row r="84" spans="1:14" x14ac:dyDescent="0.25">
      <c r="A84" t="s">
        <v>175</v>
      </c>
      <c r="B84" s="9">
        <v>45871</v>
      </c>
      <c r="C84" t="s">
        <v>111</v>
      </c>
      <c r="D84" t="s">
        <v>7</v>
      </c>
      <c r="E84" t="s">
        <v>16</v>
      </c>
      <c r="F84" s="3">
        <v>78112</v>
      </c>
      <c r="G84" s="4">
        <v>249.9</v>
      </c>
      <c r="H84" s="4">
        <v>19520188.800000001</v>
      </c>
      <c r="I84" t="s">
        <v>23</v>
      </c>
      <c r="J84" t="s">
        <v>65</v>
      </c>
      <c r="K84" t="s">
        <v>66</v>
      </c>
      <c r="L84">
        <v>2025</v>
      </c>
      <c r="M84">
        <v>8</v>
      </c>
      <c r="N84" t="s">
        <v>250</v>
      </c>
    </row>
    <row r="85" spans="1:14" x14ac:dyDescent="0.25">
      <c r="A85" t="s">
        <v>176</v>
      </c>
      <c r="B85" s="9">
        <v>45872</v>
      </c>
      <c r="C85" t="s">
        <v>84</v>
      </c>
      <c r="D85" t="s">
        <v>47</v>
      </c>
      <c r="E85" t="s">
        <v>17</v>
      </c>
      <c r="F85" s="3">
        <v>45889</v>
      </c>
      <c r="G85" s="4">
        <v>52.9</v>
      </c>
      <c r="H85" s="4">
        <v>2427528.1</v>
      </c>
      <c r="I85" t="s">
        <v>43</v>
      </c>
      <c r="J85" t="s">
        <v>88</v>
      </c>
      <c r="K85" t="s">
        <v>89</v>
      </c>
      <c r="L85">
        <v>2025</v>
      </c>
      <c r="M85">
        <v>8</v>
      </c>
      <c r="N85" t="s">
        <v>250</v>
      </c>
    </row>
    <row r="86" spans="1:14" x14ac:dyDescent="0.25">
      <c r="A86" t="s">
        <v>177</v>
      </c>
      <c r="B86" s="9">
        <v>45874</v>
      </c>
      <c r="C86" t="s">
        <v>80</v>
      </c>
      <c r="D86" t="s">
        <v>49</v>
      </c>
      <c r="E86" t="s">
        <v>18</v>
      </c>
      <c r="F86" s="3">
        <v>55658</v>
      </c>
      <c r="G86" s="4">
        <v>42.9</v>
      </c>
      <c r="H86" s="4">
        <v>2387728.2000000002</v>
      </c>
      <c r="I86" t="s">
        <v>29</v>
      </c>
      <c r="J86" t="s">
        <v>65</v>
      </c>
      <c r="K86" t="s">
        <v>66</v>
      </c>
      <c r="L86">
        <v>2025</v>
      </c>
      <c r="M86">
        <v>8</v>
      </c>
      <c r="N86" t="s">
        <v>250</v>
      </c>
    </row>
    <row r="87" spans="1:14" x14ac:dyDescent="0.25">
      <c r="A87" t="s">
        <v>178</v>
      </c>
      <c r="B87" s="9">
        <v>45879</v>
      </c>
      <c r="C87" t="s">
        <v>64</v>
      </c>
      <c r="D87" t="s">
        <v>25</v>
      </c>
      <c r="E87" t="s">
        <v>16</v>
      </c>
      <c r="F87" s="3">
        <v>45000</v>
      </c>
      <c r="G87" s="4">
        <v>289.89999999999998</v>
      </c>
      <c r="H87" s="4">
        <v>13045500</v>
      </c>
      <c r="I87" t="s">
        <v>34</v>
      </c>
      <c r="J87" t="s">
        <v>96</v>
      </c>
      <c r="K87" t="s">
        <v>97</v>
      </c>
      <c r="L87">
        <v>2025</v>
      </c>
      <c r="M87">
        <v>8</v>
      </c>
      <c r="N87" t="s">
        <v>250</v>
      </c>
    </row>
    <row r="88" spans="1:14" x14ac:dyDescent="0.25">
      <c r="A88" t="s">
        <v>179</v>
      </c>
      <c r="B88" s="9">
        <v>45880</v>
      </c>
      <c r="C88" t="s">
        <v>111</v>
      </c>
      <c r="D88" t="s">
        <v>7</v>
      </c>
      <c r="E88" t="s">
        <v>16</v>
      </c>
      <c r="F88" s="3">
        <v>75000</v>
      </c>
      <c r="G88" s="4">
        <v>249.9</v>
      </c>
      <c r="H88" s="4">
        <v>18742500</v>
      </c>
      <c r="I88" t="s">
        <v>26</v>
      </c>
      <c r="J88" t="s">
        <v>76</v>
      </c>
      <c r="K88" t="s">
        <v>77</v>
      </c>
      <c r="L88">
        <v>2025</v>
      </c>
      <c r="M88">
        <v>8</v>
      </c>
      <c r="N88" t="s">
        <v>250</v>
      </c>
    </row>
    <row r="89" spans="1:14" x14ac:dyDescent="0.25">
      <c r="A89" t="s">
        <v>180</v>
      </c>
      <c r="B89" s="9">
        <v>45881</v>
      </c>
      <c r="C89" t="s">
        <v>111</v>
      </c>
      <c r="D89" t="s">
        <v>7</v>
      </c>
      <c r="E89" t="s">
        <v>16</v>
      </c>
      <c r="F89" s="3">
        <v>120000</v>
      </c>
      <c r="G89" s="4">
        <v>249.9</v>
      </c>
      <c r="H89" s="4">
        <v>29988000</v>
      </c>
      <c r="I89" t="s">
        <v>26</v>
      </c>
      <c r="J89" t="s">
        <v>76</v>
      </c>
      <c r="K89" t="s">
        <v>77</v>
      </c>
      <c r="L89">
        <v>2025</v>
      </c>
      <c r="M89">
        <v>8</v>
      </c>
      <c r="N89" t="s">
        <v>250</v>
      </c>
    </row>
    <row r="90" spans="1:14" x14ac:dyDescent="0.25">
      <c r="A90" t="s">
        <v>181</v>
      </c>
      <c r="B90" s="9">
        <v>45886</v>
      </c>
      <c r="C90" t="s">
        <v>72</v>
      </c>
      <c r="D90" t="s">
        <v>33</v>
      </c>
      <c r="E90" t="s">
        <v>16</v>
      </c>
      <c r="F90" s="3">
        <v>80000</v>
      </c>
      <c r="G90" s="4">
        <v>129.9</v>
      </c>
      <c r="H90" s="4">
        <v>10392000</v>
      </c>
      <c r="I90" t="s">
        <v>40</v>
      </c>
      <c r="J90" t="s">
        <v>81</v>
      </c>
      <c r="K90" t="s">
        <v>82</v>
      </c>
      <c r="L90">
        <v>2025</v>
      </c>
      <c r="M90">
        <v>8</v>
      </c>
      <c r="N90" t="s">
        <v>250</v>
      </c>
    </row>
    <row r="91" spans="1:14" x14ac:dyDescent="0.25">
      <c r="A91" t="s">
        <v>182</v>
      </c>
      <c r="B91" s="9">
        <v>45893</v>
      </c>
      <c r="C91" t="s">
        <v>102</v>
      </c>
      <c r="D91" t="s">
        <v>42</v>
      </c>
      <c r="E91" t="s">
        <v>18</v>
      </c>
      <c r="F91" s="3">
        <v>78112</v>
      </c>
      <c r="G91" s="4">
        <v>99.9</v>
      </c>
      <c r="H91" s="4">
        <v>7803388.8000000007</v>
      </c>
      <c r="I91" t="s">
        <v>29</v>
      </c>
      <c r="J91" t="s">
        <v>65</v>
      </c>
      <c r="K91" t="s">
        <v>66</v>
      </c>
      <c r="L91">
        <v>2025</v>
      </c>
      <c r="M91">
        <v>8</v>
      </c>
      <c r="N91" t="s">
        <v>250</v>
      </c>
    </row>
    <row r="92" spans="1:14" x14ac:dyDescent="0.25">
      <c r="A92" t="s">
        <v>183</v>
      </c>
      <c r="B92" s="9">
        <v>45897</v>
      </c>
      <c r="C92" t="s">
        <v>108</v>
      </c>
      <c r="D92" t="s">
        <v>28</v>
      </c>
      <c r="E92" t="s">
        <v>16</v>
      </c>
      <c r="F92" s="3">
        <v>45000</v>
      </c>
      <c r="G92" s="4">
        <v>149.9</v>
      </c>
      <c r="H92" s="4">
        <v>6745500</v>
      </c>
      <c r="I92" t="s">
        <v>34</v>
      </c>
      <c r="J92" t="s">
        <v>96</v>
      </c>
      <c r="K92" t="s">
        <v>97</v>
      </c>
      <c r="L92">
        <v>2025</v>
      </c>
      <c r="M92">
        <v>8</v>
      </c>
      <c r="N92" t="s">
        <v>250</v>
      </c>
    </row>
    <row r="93" spans="1:14" x14ac:dyDescent="0.25">
      <c r="A93" t="s">
        <v>184</v>
      </c>
      <c r="B93" s="9">
        <v>45898</v>
      </c>
      <c r="C93" t="s">
        <v>80</v>
      </c>
      <c r="D93" t="s">
        <v>49</v>
      </c>
      <c r="E93" t="s">
        <v>18</v>
      </c>
      <c r="F93" s="3">
        <v>75000</v>
      </c>
      <c r="G93" s="4">
        <v>42.9</v>
      </c>
      <c r="H93" s="4">
        <v>3217500</v>
      </c>
      <c r="I93" t="s">
        <v>29</v>
      </c>
      <c r="J93" t="s">
        <v>65</v>
      </c>
      <c r="K93" t="s">
        <v>66</v>
      </c>
      <c r="L93">
        <v>2025</v>
      </c>
      <c r="M93">
        <v>8</v>
      </c>
      <c r="N93" t="s">
        <v>250</v>
      </c>
    </row>
    <row r="94" spans="1:14" x14ac:dyDescent="0.25">
      <c r="A94" t="s">
        <v>185</v>
      </c>
      <c r="B94" s="9">
        <v>45901</v>
      </c>
      <c r="C94" t="s">
        <v>102</v>
      </c>
      <c r="D94" t="s">
        <v>42</v>
      </c>
      <c r="E94" t="s">
        <v>18</v>
      </c>
      <c r="F94" s="3">
        <v>120000</v>
      </c>
      <c r="G94" s="4">
        <v>99.9</v>
      </c>
      <c r="H94" s="4">
        <v>11988000</v>
      </c>
      <c r="I94" t="s">
        <v>26</v>
      </c>
      <c r="J94" t="s">
        <v>76</v>
      </c>
      <c r="K94" t="s">
        <v>77</v>
      </c>
      <c r="L94">
        <v>2025</v>
      </c>
      <c r="M94">
        <v>9</v>
      </c>
      <c r="N94" t="s">
        <v>251</v>
      </c>
    </row>
    <row r="95" spans="1:14" x14ac:dyDescent="0.25">
      <c r="A95" t="s">
        <v>186</v>
      </c>
      <c r="B95" s="9">
        <v>45905</v>
      </c>
      <c r="C95" t="s">
        <v>102</v>
      </c>
      <c r="D95" t="s">
        <v>42</v>
      </c>
      <c r="E95" t="s">
        <v>18</v>
      </c>
      <c r="F95" s="3">
        <v>80000</v>
      </c>
      <c r="G95" s="4">
        <v>99.9</v>
      </c>
      <c r="H95" s="4">
        <v>7992000</v>
      </c>
      <c r="I95" t="s">
        <v>34</v>
      </c>
      <c r="J95" t="s">
        <v>96</v>
      </c>
      <c r="K95" t="s">
        <v>97</v>
      </c>
      <c r="L95">
        <v>2025</v>
      </c>
      <c r="M95">
        <v>9</v>
      </c>
      <c r="N95" t="s">
        <v>251</v>
      </c>
    </row>
    <row r="96" spans="1:14" x14ac:dyDescent="0.25">
      <c r="A96" t="s">
        <v>187</v>
      </c>
      <c r="B96" s="9">
        <v>45911</v>
      </c>
      <c r="C96" t="s">
        <v>94</v>
      </c>
      <c r="D96" t="s">
        <v>51</v>
      </c>
      <c r="E96" t="s">
        <v>18</v>
      </c>
      <c r="F96" s="3">
        <v>78112</v>
      </c>
      <c r="G96" s="4">
        <v>39.9</v>
      </c>
      <c r="H96" s="4">
        <v>3116668.8</v>
      </c>
      <c r="I96" t="s">
        <v>40</v>
      </c>
      <c r="J96" t="s">
        <v>81</v>
      </c>
      <c r="K96" t="s">
        <v>82</v>
      </c>
      <c r="L96">
        <v>2025</v>
      </c>
      <c r="M96">
        <v>9</v>
      </c>
      <c r="N96" t="s">
        <v>251</v>
      </c>
    </row>
    <row r="97" spans="1:14" x14ac:dyDescent="0.25">
      <c r="A97" t="s">
        <v>188</v>
      </c>
      <c r="B97" s="9">
        <v>45916</v>
      </c>
      <c r="C97" t="s">
        <v>94</v>
      </c>
      <c r="D97" t="s">
        <v>51</v>
      </c>
      <c r="E97" t="s">
        <v>18</v>
      </c>
      <c r="F97" s="3">
        <v>80000</v>
      </c>
      <c r="G97" s="4">
        <v>39.9</v>
      </c>
      <c r="H97" s="4">
        <v>3192000</v>
      </c>
      <c r="I97" t="s">
        <v>29</v>
      </c>
      <c r="J97" t="s">
        <v>65</v>
      </c>
      <c r="K97" t="s">
        <v>66</v>
      </c>
      <c r="L97">
        <v>2025</v>
      </c>
      <c r="M97">
        <v>9</v>
      </c>
      <c r="N97" t="s">
        <v>251</v>
      </c>
    </row>
    <row r="98" spans="1:14" x14ac:dyDescent="0.25">
      <c r="A98" t="s">
        <v>189</v>
      </c>
      <c r="B98" s="9">
        <v>45917</v>
      </c>
      <c r="C98" t="s">
        <v>94</v>
      </c>
      <c r="D98" t="s">
        <v>51</v>
      </c>
      <c r="E98" t="s">
        <v>18</v>
      </c>
      <c r="F98" s="3">
        <v>78112</v>
      </c>
      <c r="G98" s="4">
        <v>39.9</v>
      </c>
      <c r="H98" s="4">
        <v>3116668.8</v>
      </c>
      <c r="I98" t="s">
        <v>40</v>
      </c>
      <c r="J98" t="s">
        <v>81</v>
      </c>
      <c r="K98" t="s">
        <v>82</v>
      </c>
      <c r="L98">
        <v>2025</v>
      </c>
      <c r="M98">
        <v>9</v>
      </c>
      <c r="N98" t="s">
        <v>251</v>
      </c>
    </row>
    <row r="99" spans="1:14" x14ac:dyDescent="0.25">
      <c r="A99" t="s">
        <v>190</v>
      </c>
      <c r="B99" s="9">
        <v>45919</v>
      </c>
      <c r="C99" t="s">
        <v>91</v>
      </c>
      <c r="D99" t="s">
        <v>39</v>
      </c>
      <c r="E99" t="s">
        <v>16</v>
      </c>
      <c r="F99" s="3">
        <v>45889</v>
      </c>
      <c r="G99" s="4">
        <v>179.9</v>
      </c>
      <c r="H99" s="4">
        <v>8255431.1000000006</v>
      </c>
      <c r="I99" t="s">
        <v>23</v>
      </c>
      <c r="J99" t="s">
        <v>65</v>
      </c>
      <c r="K99" t="s">
        <v>66</v>
      </c>
      <c r="L99">
        <v>2025</v>
      </c>
      <c r="M99">
        <v>9</v>
      </c>
      <c r="N99" t="s">
        <v>251</v>
      </c>
    </row>
    <row r="100" spans="1:14" x14ac:dyDescent="0.25">
      <c r="A100" t="s">
        <v>191</v>
      </c>
      <c r="B100" s="9">
        <v>45919</v>
      </c>
      <c r="C100" t="s">
        <v>108</v>
      </c>
      <c r="D100" t="s">
        <v>28</v>
      </c>
      <c r="E100" t="s">
        <v>16</v>
      </c>
      <c r="F100" s="3">
        <v>55658</v>
      </c>
      <c r="G100" s="4">
        <v>149.9</v>
      </c>
      <c r="H100" s="4">
        <v>8343134.2000000002</v>
      </c>
      <c r="I100" t="s">
        <v>43</v>
      </c>
      <c r="J100" t="s">
        <v>88</v>
      </c>
      <c r="K100" t="s">
        <v>89</v>
      </c>
      <c r="L100">
        <v>2025</v>
      </c>
      <c r="M100">
        <v>9</v>
      </c>
      <c r="N100" t="s">
        <v>251</v>
      </c>
    </row>
    <row r="101" spans="1:14" x14ac:dyDescent="0.25">
      <c r="A101" t="s">
        <v>192</v>
      </c>
      <c r="B101" s="9">
        <v>45919</v>
      </c>
      <c r="C101" t="s">
        <v>72</v>
      </c>
      <c r="D101" t="s">
        <v>33</v>
      </c>
      <c r="E101" t="s">
        <v>16</v>
      </c>
      <c r="F101" s="3">
        <v>45000</v>
      </c>
      <c r="G101" s="4">
        <v>129.9</v>
      </c>
      <c r="H101" s="4">
        <v>5845500</v>
      </c>
      <c r="I101" t="s">
        <v>29</v>
      </c>
      <c r="J101" t="s">
        <v>65</v>
      </c>
      <c r="K101" t="s">
        <v>66</v>
      </c>
      <c r="L101">
        <v>2025</v>
      </c>
      <c r="M101">
        <v>9</v>
      </c>
      <c r="N101" t="s">
        <v>251</v>
      </c>
    </row>
    <row r="102" spans="1:14" x14ac:dyDescent="0.25">
      <c r="A102" t="s">
        <v>193</v>
      </c>
      <c r="B102" s="9">
        <v>45921</v>
      </c>
      <c r="C102" t="s">
        <v>141</v>
      </c>
      <c r="D102" t="s">
        <v>45</v>
      </c>
      <c r="E102" t="s">
        <v>17</v>
      </c>
      <c r="F102" s="3">
        <v>75000</v>
      </c>
      <c r="G102" s="4">
        <v>119.9</v>
      </c>
      <c r="H102" s="4">
        <v>8992500</v>
      </c>
      <c r="I102" t="s">
        <v>37</v>
      </c>
      <c r="J102" t="s">
        <v>85</v>
      </c>
      <c r="K102" t="s">
        <v>86</v>
      </c>
      <c r="L102">
        <v>2025</v>
      </c>
      <c r="M102">
        <v>9</v>
      </c>
      <c r="N102" t="s">
        <v>251</v>
      </c>
    </row>
    <row r="103" spans="1:14" x14ac:dyDescent="0.25">
      <c r="A103" t="s">
        <v>194</v>
      </c>
      <c r="B103" s="9">
        <v>45921</v>
      </c>
      <c r="C103" t="s">
        <v>72</v>
      </c>
      <c r="D103" t="s">
        <v>33</v>
      </c>
      <c r="E103" t="s">
        <v>16</v>
      </c>
      <c r="F103" s="3">
        <v>120000</v>
      </c>
      <c r="G103" s="4">
        <v>129.9</v>
      </c>
      <c r="H103" s="4">
        <v>15588000</v>
      </c>
      <c r="I103" t="s">
        <v>31</v>
      </c>
      <c r="J103" t="s">
        <v>73</v>
      </c>
      <c r="K103" t="s">
        <v>74</v>
      </c>
      <c r="L103">
        <v>2025</v>
      </c>
      <c r="M103">
        <v>9</v>
      </c>
      <c r="N103" t="s">
        <v>251</v>
      </c>
    </row>
    <row r="104" spans="1:14" x14ac:dyDescent="0.25">
      <c r="A104" t="s">
        <v>195</v>
      </c>
      <c r="B104" s="9">
        <v>45922</v>
      </c>
      <c r="C104" t="s">
        <v>102</v>
      </c>
      <c r="D104" t="s">
        <v>42</v>
      </c>
      <c r="E104" t="s">
        <v>18</v>
      </c>
      <c r="F104" s="3">
        <v>80000</v>
      </c>
      <c r="G104" s="4">
        <v>99.9</v>
      </c>
      <c r="H104" s="4">
        <v>7992000</v>
      </c>
      <c r="I104" t="s">
        <v>31</v>
      </c>
      <c r="J104" t="s">
        <v>73</v>
      </c>
      <c r="K104" t="s">
        <v>74</v>
      </c>
      <c r="L104">
        <v>2025</v>
      </c>
      <c r="M104">
        <v>9</v>
      </c>
      <c r="N104" t="s">
        <v>251</v>
      </c>
    </row>
    <row r="105" spans="1:14" x14ac:dyDescent="0.25">
      <c r="A105" t="s">
        <v>196</v>
      </c>
      <c r="B105" s="9">
        <v>45924</v>
      </c>
      <c r="C105" t="s">
        <v>80</v>
      </c>
      <c r="D105" t="s">
        <v>49</v>
      </c>
      <c r="E105" t="s">
        <v>18</v>
      </c>
      <c r="F105" s="3">
        <v>78112</v>
      </c>
      <c r="G105" s="4">
        <v>42.9</v>
      </c>
      <c r="H105" s="4">
        <v>3351004.8</v>
      </c>
      <c r="I105" t="s">
        <v>31</v>
      </c>
      <c r="J105" t="s">
        <v>73</v>
      </c>
      <c r="K105" t="s">
        <v>74</v>
      </c>
      <c r="L105">
        <v>2025</v>
      </c>
      <c r="M105">
        <v>9</v>
      </c>
      <c r="N105" t="s">
        <v>251</v>
      </c>
    </row>
    <row r="106" spans="1:14" x14ac:dyDescent="0.25">
      <c r="A106" t="s">
        <v>197</v>
      </c>
      <c r="B106" s="9">
        <v>45926</v>
      </c>
      <c r="C106" t="s">
        <v>72</v>
      </c>
      <c r="D106" t="s">
        <v>33</v>
      </c>
      <c r="E106" t="s">
        <v>16</v>
      </c>
      <c r="F106" s="3">
        <v>45000</v>
      </c>
      <c r="G106" s="4">
        <v>129.9</v>
      </c>
      <c r="H106" s="4">
        <v>5845500</v>
      </c>
      <c r="I106" t="s">
        <v>37</v>
      </c>
      <c r="J106" t="s">
        <v>85</v>
      </c>
      <c r="K106" t="s">
        <v>86</v>
      </c>
      <c r="L106">
        <v>2025</v>
      </c>
      <c r="M106">
        <v>9</v>
      </c>
      <c r="N106" t="s">
        <v>251</v>
      </c>
    </row>
    <row r="107" spans="1:14" x14ac:dyDescent="0.25">
      <c r="A107" t="s">
        <v>198</v>
      </c>
      <c r="B107" s="9">
        <v>45928</v>
      </c>
      <c r="C107" t="s">
        <v>91</v>
      </c>
      <c r="D107" t="s">
        <v>39</v>
      </c>
      <c r="E107" t="s">
        <v>16</v>
      </c>
      <c r="F107" s="3">
        <v>45000</v>
      </c>
      <c r="G107" s="4">
        <v>179.9</v>
      </c>
      <c r="H107" s="4">
        <v>8095500</v>
      </c>
      <c r="I107" t="s">
        <v>31</v>
      </c>
      <c r="J107" t="s">
        <v>73</v>
      </c>
      <c r="K107" t="s">
        <v>74</v>
      </c>
      <c r="L107">
        <v>2025</v>
      </c>
      <c r="M107">
        <v>9</v>
      </c>
      <c r="N107" t="s">
        <v>251</v>
      </c>
    </row>
    <row r="108" spans="1:14" x14ac:dyDescent="0.25">
      <c r="A108" t="s">
        <v>199</v>
      </c>
      <c r="B108" s="9">
        <v>45928</v>
      </c>
      <c r="C108" t="s">
        <v>68</v>
      </c>
      <c r="D108" t="s">
        <v>30</v>
      </c>
      <c r="E108" t="s">
        <v>18</v>
      </c>
      <c r="F108" s="3">
        <v>75000</v>
      </c>
      <c r="G108" s="4">
        <v>149.9</v>
      </c>
      <c r="H108" s="4">
        <v>11242500</v>
      </c>
      <c r="I108" t="s">
        <v>40</v>
      </c>
      <c r="J108" t="s">
        <v>81</v>
      </c>
      <c r="K108" t="s">
        <v>82</v>
      </c>
      <c r="L108">
        <v>2025</v>
      </c>
      <c r="M108">
        <v>9</v>
      </c>
      <c r="N108" t="s">
        <v>251</v>
      </c>
    </row>
    <row r="109" spans="1:14" x14ac:dyDescent="0.25">
      <c r="A109" t="s">
        <v>200</v>
      </c>
      <c r="B109" s="9">
        <v>45930</v>
      </c>
      <c r="C109" t="s">
        <v>102</v>
      </c>
      <c r="D109" t="s">
        <v>42</v>
      </c>
      <c r="E109" t="s">
        <v>18</v>
      </c>
      <c r="F109" s="3">
        <v>120000</v>
      </c>
      <c r="G109" s="4">
        <v>99.9</v>
      </c>
      <c r="H109" s="4">
        <v>11988000</v>
      </c>
      <c r="I109" t="s">
        <v>31</v>
      </c>
      <c r="J109" t="s">
        <v>73</v>
      </c>
      <c r="K109" t="s">
        <v>74</v>
      </c>
      <c r="L109">
        <v>2025</v>
      </c>
      <c r="M109">
        <v>9</v>
      </c>
      <c r="N109" t="s">
        <v>251</v>
      </c>
    </row>
    <row r="110" spans="1:14" x14ac:dyDescent="0.25">
      <c r="A110" t="s">
        <v>201</v>
      </c>
      <c r="B110" s="9">
        <v>45930</v>
      </c>
      <c r="C110" t="s">
        <v>70</v>
      </c>
      <c r="D110" t="s">
        <v>46</v>
      </c>
      <c r="E110" t="s">
        <v>17</v>
      </c>
      <c r="F110" s="3">
        <v>80000</v>
      </c>
      <c r="G110" s="4">
        <v>74.900000000000006</v>
      </c>
      <c r="H110" s="4">
        <v>5992000</v>
      </c>
      <c r="I110" t="s">
        <v>31</v>
      </c>
      <c r="J110" t="s">
        <v>73</v>
      </c>
      <c r="K110" t="s">
        <v>74</v>
      </c>
      <c r="L110">
        <v>2025</v>
      </c>
      <c r="M110">
        <v>9</v>
      </c>
      <c r="N110" t="s">
        <v>251</v>
      </c>
    </row>
    <row r="111" spans="1:14" x14ac:dyDescent="0.25">
      <c r="A111" t="s">
        <v>202</v>
      </c>
      <c r="B111" s="9">
        <v>45936</v>
      </c>
      <c r="C111" t="s">
        <v>136</v>
      </c>
      <c r="D111" t="s">
        <v>50</v>
      </c>
      <c r="E111" t="s">
        <v>17</v>
      </c>
      <c r="F111" s="3">
        <v>78112</v>
      </c>
      <c r="G111" s="4">
        <v>46.9</v>
      </c>
      <c r="H111" s="4">
        <v>3663452.8</v>
      </c>
      <c r="I111" t="s">
        <v>26</v>
      </c>
      <c r="J111" t="s">
        <v>76</v>
      </c>
      <c r="K111" t="s">
        <v>77</v>
      </c>
      <c r="L111">
        <v>2025</v>
      </c>
      <c r="M111">
        <v>10</v>
      </c>
      <c r="N111" t="s">
        <v>252</v>
      </c>
    </row>
    <row r="112" spans="1:14" x14ac:dyDescent="0.25">
      <c r="A112" t="s">
        <v>203</v>
      </c>
      <c r="B112" s="9">
        <v>45936</v>
      </c>
      <c r="C112" t="s">
        <v>102</v>
      </c>
      <c r="D112" t="s">
        <v>42</v>
      </c>
      <c r="E112" t="s">
        <v>18</v>
      </c>
      <c r="F112" s="3">
        <v>80000</v>
      </c>
      <c r="G112" s="4">
        <v>99.9</v>
      </c>
      <c r="H112" s="4">
        <v>7992000</v>
      </c>
      <c r="I112" t="s">
        <v>23</v>
      </c>
      <c r="J112" t="s">
        <v>65</v>
      </c>
      <c r="K112" t="s">
        <v>66</v>
      </c>
      <c r="L112">
        <v>2025</v>
      </c>
      <c r="M112">
        <v>10</v>
      </c>
      <c r="N112" t="s">
        <v>252</v>
      </c>
    </row>
    <row r="113" spans="1:14" x14ac:dyDescent="0.25">
      <c r="A113" t="s">
        <v>204</v>
      </c>
      <c r="B113" s="9">
        <v>45937</v>
      </c>
      <c r="C113" t="s">
        <v>70</v>
      </c>
      <c r="D113" t="s">
        <v>46</v>
      </c>
      <c r="E113" t="s">
        <v>17</v>
      </c>
      <c r="F113" s="3">
        <v>78112</v>
      </c>
      <c r="G113" s="4">
        <v>74.900000000000006</v>
      </c>
      <c r="H113" s="4">
        <v>5850588.8000000007</v>
      </c>
      <c r="I113" t="s">
        <v>43</v>
      </c>
      <c r="J113" t="s">
        <v>88</v>
      </c>
      <c r="K113" t="s">
        <v>89</v>
      </c>
      <c r="L113">
        <v>2025</v>
      </c>
      <c r="M113">
        <v>10</v>
      </c>
      <c r="N113" t="s">
        <v>252</v>
      </c>
    </row>
    <row r="114" spans="1:14" x14ac:dyDescent="0.25">
      <c r="A114" t="s">
        <v>205</v>
      </c>
      <c r="B114" s="9">
        <v>45938</v>
      </c>
      <c r="C114" t="s">
        <v>111</v>
      </c>
      <c r="D114" t="s">
        <v>7</v>
      </c>
      <c r="E114" t="s">
        <v>16</v>
      </c>
      <c r="F114" s="3">
        <v>45889</v>
      </c>
      <c r="G114" s="4">
        <v>249.9</v>
      </c>
      <c r="H114" s="4">
        <v>11467661.1</v>
      </c>
      <c r="I114" t="s">
        <v>43</v>
      </c>
      <c r="J114" t="s">
        <v>88</v>
      </c>
      <c r="K114" t="s">
        <v>89</v>
      </c>
      <c r="L114">
        <v>2025</v>
      </c>
      <c r="M114">
        <v>10</v>
      </c>
      <c r="N114" t="s">
        <v>252</v>
      </c>
    </row>
    <row r="115" spans="1:14" x14ac:dyDescent="0.25">
      <c r="A115" t="s">
        <v>206</v>
      </c>
      <c r="B115" s="9">
        <v>45940</v>
      </c>
      <c r="C115" t="s">
        <v>102</v>
      </c>
      <c r="D115" t="s">
        <v>42</v>
      </c>
      <c r="E115" t="s">
        <v>18</v>
      </c>
      <c r="F115" s="3">
        <v>55658</v>
      </c>
      <c r="G115" s="4">
        <v>99.9</v>
      </c>
      <c r="H115" s="4">
        <v>5560234.2000000002</v>
      </c>
      <c r="I115" t="s">
        <v>23</v>
      </c>
      <c r="J115" t="s">
        <v>65</v>
      </c>
      <c r="K115" t="s">
        <v>66</v>
      </c>
      <c r="L115">
        <v>2025</v>
      </c>
      <c r="M115">
        <v>10</v>
      </c>
      <c r="N115" t="s">
        <v>252</v>
      </c>
    </row>
    <row r="116" spans="1:14" x14ac:dyDescent="0.25">
      <c r="A116" t="s">
        <v>207</v>
      </c>
      <c r="B116" s="9">
        <v>45943</v>
      </c>
      <c r="C116" t="s">
        <v>130</v>
      </c>
      <c r="D116" t="s">
        <v>48</v>
      </c>
      <c r="E116" t="s">
        <v>16</v>
      </c>
      <c r="F116" s="3">
        <v>45000</v>
      </c>
      <c r="G116" s="4">
        <v>139.9</v>
      </c>
      <c r="H116" s="4">
        <v>6295500</v>
      </c>
      <c r="I116" t="s">
        <v>40</v>
      </c>
      <c r="J116" t="s">
        <v>81</v>
      </c>
      <c r="K116" t="s">
        <v>82</v>
      </c>
      <c r="L116">
        <v>2025</v>
      </c>
      <c r="M116">
        <v>10</v>
      </c>
      <c r="N116" t="s">
        <v>252</v>
      </c>
    </row>
    <row r="117" spans="1:14" x14ac:dyDescent="0.25">
      <c r="A117" t="s">
        <v>208</v>
      </c>
      <c r="B117" s="9">
        <v>45943</v>
      </c>
      <c r="C117" t="s">
        <v>108</v>
      </c>
      <c r="D117" t="s">
        <v>28</v>
      </c>
      <c r="E117" t="s">
        <v>16</v>
      </c>
      <c r="F117" s="3">
        <v>75000</v>
      </c>
      <c r="G117" s="4">
        <v>149.9</v>
      </c>
      <c r="H117" s="4">
        <v>11242500</v>
      </c>
      <c r="I117" t="s">
        <v>37</v>
      </c>
      <c r="J117" t="s">
        <v>85</v>
      </c>
      <c r="K117" t="s">
        <v>86</v>
      </c>
      <c r="L117">
        <v>2025</v>
      </c>
      <c r="M117">
        <v>10</v>
      </c>
      <c r="N117" t="s">
        <v>252</v>
      </c>
    </row>
    <row r="118" spans="1:14" x14ac:dyDescent="0.25">
      <c r="A118" t="s">
        <v>209</v>
      </c>
      <c r="B118" s="9">
        <v>45946</v>
      </c>
      <c r="C118" t="s">
        <v>108</v>
      </c>
      <c r="D118" t="s">
        <v>28</v>
      </c>
      <c r="E118" t="s">
        <v>16</v>
      </c>
      <c r="F118" s="3">
        <v>120000</v>
      </c>
      <c r="G118" s="4">
        <v>149.9</v>
      </c>
      <c r="H118" s="4">
        <v>17988000</v>
      </c>
      <c r="I118" t="s">
        <v>29</v>
      </c>
      <c r="J118" t="s">
        <v>65</v>
      </c>
      <c r="K118" t="s">
        <v>66</v>
      </c>
      <c r="L118">
        <v>2025</v>
      </c>
      <c r="M118">
        <v>10</v>
      </c>
      <c r="N118" t="s">
        <v>252</v>
      </c>
    </row>
    <row r="119" spans="1:14" x14ac:dyDescent="0.25">
      <c r="A119" t="s">
        <v>210</v>
      </c>
      <c r="B119" s="9">
        <v>45949</v>
      </c>
      <c r="C119" t="s">
        <v>141</v>
      </c>
      <c r="D119" t="s">
        <v>45</v>
      </c>
      <c r="E119" t="s">
        <v>17</v>
      </c>
      <c r="F119" s="3">
        <v>80000</v>
      </c>
      <c r="G119" s="4">
        <v>119.9</v>
      </c>
      <c r="H119" s="4">
        <v>9592000</v>
      </c>
      <c r="I119" t="s">
        <v>23</v>
      </c>
      <c r="J119" t="s">
        <v>65</v>
      </c>
      <c r="K119" t="s">
        <v>66</v>
      </c>
      <c r="L119">
        <v>2025</v>
      </c>
      <c r="M119">
        <v>10</v>
      </c>
      <c r="N119" t="s">
        <v>252</v>
      </c>
    </row>
    <row r="120" spans="1:14" x14ac:dyDescent="0.25">
      <c r="A120" t="s">
        <v>211</v>
      </c>
      <c r="B120" s="9">
        <v>45953</v>
      </c>
      <c r="C120" t="s">
        <v>94</v>
      </c>
      <c r="D120" t="s">
        <v>51</v>
      </c>
      <c r="E120" t="s">
        <v>18</v>
      </c>
      <c r="F120" s="3">
        <v>78112</v>
      </c>
      <c r="G120" s="4">
        <v>39.9</v>
      </c>
      <c r="H120" s="4">
        <v>3116668.8</v>
      </c>
      <c r="I120" t="s">
        <v>40</v>
      </c>
      <c r="J120" t="s">
        <v>81</v>
      </c>
      <c r="K120" t="s">
        <v>82</v>
      </c>
      <c r="L120">
        <v>2025</v>
      </c>
      <c r="M120">
        <v>10</v>
      </c>
      <c r="N120" t="s">
        <v>252</v>
      </c>
    </row>
    <row r="121" spans="1:14" x14ac:dyDescent="0.25">
      <c r="A121" t="s">
        <v>212</v>
      </c>
      <c r="B121" s="9">
        <v>45957</v>
      </c>
      <c r="C121" t="s">
        <v>136</v>
      </c>
      <c r="D121" t="s">
        <v>50</v>
      </c>
      <c r="E121" t="s">
        <v>17</v>
      </c>
      <c r="F121" s="3">
        <v>45000</v>
      </c>
      <c r="G121" s="4">
        <v>46.9</v>
      </c>
      <c r="H121" s="4">
        <v>2110500</v>
      </c>
      <c r="I121" t="s">
        <v>43</v>
      </c>
      <c r="J121" t="s">
        <v>88</v>
      </c>
      <c r="K121" t="s">
        <v>89</v>
      </c>
      <c r="L121">
        <v>2025</v>
      </c>
      <c r="M121">
        <v>10</v>
      </c>
      <c r="N121" t="s">
        <v>252</v>
      </c>
    </row>
    <row r="122" spans="1:14" x14ac:dyDescent="0.25">
      <c r="A122" t="s">
        <v>213</v>
      </c>
      <c r="B122" s="9">
        <v>45963</v>
      </c>
      <c r="C122" t="s">
        <v>99</v>
      </c>
      <c r="D122" t="s">
        <v>36</v>
      </c>
      <c r="E122" t="s">
        <v>17</v>
      </c>
      <c r="F122" s="3">
        <v>80000</v>
      </c>
      <c r="G122" s="4">
        <v>134.9</v>
      </c>
      <c r="H122" s="4">
        <v>10792000</v>
      </c>
      <c r="I122" t="s">
        <v>29</v>
      </c>
      <c r="J122" t="s">
        <v>65</v>
      </c>
      <c r="K122" t="s">
        <v>66</v>
      </c>
      <c r="L122">
        <v>2025</v>
      </c>
      <c r="M122">
        <v>11</v>
      </c>
      <c r="N122" t="s">
        <v>253</v>
      </c>
    </row>
    <row r="123" spans="1:14" x14ac:dyDescent="0.25">
      <c r="A123" t="s">
        <v>214</v>
      </c>
      <c r="B123" s="9">
        <v>45964</v>
      </c>
      <c r="C123" t="s">
        <v>111</v>
      </c>
      <c r="D123" t="s">
        <v>7</v>
      </c>
      <c r="E123" t="s">
        <v>16</v>
      </c>
      <c r="F123" s="3">
        <v>78112</v>
      </c>
      <c r="G123" s="4">
        <v>249.9</v>
      </c>
      <c r="H123" s="4">
        <v>19520188.800000001</v>
      </c>
      <c r="I123" t="s">
        <v>31</v>
      </c>
      <c r="J123" t="s">
        <v>73</v>
      </c>
      <c r="K123" t="s">
        <v>74</v>
      </c>
      <c r="L123">
        <v>2025</v>
      </c>
      <c r="M123">
        <v>11</v>
      </c>
      <c r="N123" t="s">
        <v>253</v>
      </c>
    </row>
    <row r="124" spans="1:14" x14ac:dyDescent="0.25">
      <c r="A124" t="s">
        <v>215</v>
      </c>
      <c r="B124" s="9">
        <v>45966</v>
      </c>
      <c r="C124" t="s">
        <v>108</v>
      </c>
      <c r="D124" t="s">
        <v>28</v>
      </c>
      <c r="E124" t="s">
        <v>16</v>
      </c>
      <c r="F124" s="3">
        <v>45000</v>
      </c>
      <c r="G124" s="4">
        <v>149.9</v>
      </c>
      <c r="H124" s="4">
        <v>6745500</v>
      </c>
      <c r="I124" t="s">
        <v>37</v>
      </c>
      <c r="J124" t="s">
        <v>85</v>
      </c>
      <c r="K124" t="s">
        <v>86</v>
      </c>
      <c r="L124">
        <v>2025</v>
      </c>
      <c r="M124">
        <v>11</v>
      </c>
      <c r="N124" t="s">
        <v>253</v>
      </c>
    </row>
    <row r="125" spans="1:14" x14ac:dyDescent="0.25">
      <c r="A125" t="s">
        <v>216</v>
      </c>
      <c r="B125" s="9">
        <v>45967</v>
      </c>
      <c r="C125" t="s">
        <v>68</v>
      </c>
      <c r="D125" t="s">
        <v>30</v>
      </c>
      <c r="E125" t="s">
        <v>18</v>
      </c>
      <c r="F125" s="3">
        <v>45000</v>
      </c>
      <c r="G125" s="4">
        <v>149.9</v>
      </c>
      <c r="H125" s="4">
        <v>6745500</v>
      </c>
      <c r="I125" t="s">
        <v>26</v>
      </c>
      <c r="J125" t="s">
        <v>76</v>
      </c>
      <c r="K125" t="s">
        <v>77</v>
      </c>
      <c r="L125">
        <v>2025</v>
      </c>
      <c r="M125">
        <v>11</v>
      </c>
      <c r="N125" t="s">
        <v>253</v>
      </c>
    </row>
    <row r="126" spans="1:14" x14ac:dyDescent="0.25">
      <c r="A126" t="s">
        <v>217</v>
      </c>
      <c r="B126" s="9">
        <v>45968</v>
      </c>
      <c r="C126" t="s">
        <v>68</v>
      </c>
      <c r="D126" t="s">
        <v>30</v>
      </c>
      <c r="E126" t="s">
        <v>18</v>
      </c>
      <c r="F126" s="3">
        <v>75000</v>
      </c>
      <c r="G126" s="4">
        <v>149.9</v>
      </c>
      <c r="H126" s="4">
        <v>11242500</v>
      </c>
      <c r="I126" t="s">
        <v>40</v>
      </c>
      <c r="J126" t="s">
        <v>81</v>
      </c>
      <c r="K126" t="s">
        <v>82</v>
      </c>
      <c r="L126">
        <v>2025</v>
      </c>
      <c r="M126">
        <v>11</v>
      </c>
      <c r="N126" t="s">
        <v>253</v>
      </c>
    </row>
    <row r="127" spans="1:14" x14ac:dyDescent="0.25">
      <c r="A127" t="s">
        <v>218</v>
      </c>
      <c r="B127" s="9">
        <v>45968</v>
      </c>
      <c r="C127" t="s">
        <v>99</v>
      </c>
      <c r="D127" t="s">
        <v>36</v>
      </c>
      <c r="E127" t="s">
        <v>17</v>
      </c>
      <c r="F127" s="3">
        <v>120000</v>
      </c>
      <c r="G127" s="4">
        <v>134.9</v>
      </c>
      <c r="H127" s="4">
        <v>16188000</v>
      </c>
      <c r="I127" t="s">
        <v>37</v>
      </c>
      <c r="J127" t="s">
        <v>85</v>
      </c>
      <c r="K127" t="s">
        <v>86</v>
      </c>
      <c r="L127">
        <v>2025</v>
      </c>
      <c r="M127">
        <v>11</v>
      </c>
      <c r="N127" t="s">
        <v>253</v>
      </c>
    </row>
    <row r="128" spans="1:14" x14ac:dyDescent="0.25">
      <c r="A128" t="s">
        <v>219</v>
      </c>
      <c r="B128" s="9">
        <v>45968</v>
      </c>
      <c r="C128" t="s">
        <v>70</v>
      </c>
      <c r="D128" t="s">
        <v>46</v>
      </c>
      <c r="E128" t="s">
        <v>17</v>
      </c>
      <c r="F128" s="3">
        <v>80000</v>
      </c>
      <c r="G128" s="4">
        <v>74.900000000000006</v>
      </c>
      <c r="H128" s="4">
        <v>5992000</v>
      </c>
      <c r="I128" t="s">
        <v>23</v>
      </c>
      <c r="J128" t="s">
        <v>65</v>
      </c>
      <c r="K128" t="s">
        <v>66</v>
      </c>
      <c r="L128">
        <v>2025</v>
      </c>
      <c r="M128">
        <v>11</v>
      </c>
      <c r="N128" t="s">
        <v>253</v>
      </c>
    </row>
    <row r="129" spans="1:14" x14ac:dyDescent="0.25">
      <c r="A129" t="s">
        <v>220</v>
      </c>
      <c r="B129" s="9">
        <v>45976</v>
      </c>
      <c r="C129" t="s">
        <v>130</v>
      </c>
      <c r="D129" t="s">
        <v>48</v>
      </c>
      <c r="E129" t="s">
        <v>16</v>
      </c>
      <c r="F129" s="3">
        <v>78112</v>
      </c>
      <c r="G129" s="4">
        <v>139.9</v>
      </c>
      <c r="H129" s="4">
        <v>10927868.800000001</v>
      </c>
      <c r="I129" t="s">
        <v>31</v>
      </c>
      <c r="J129" t="s">
        <v>73</v>
      </c>
      <c r="K129" t="s">
        <v>74</v>
      </c>
      <c r="L129">
        <v>2025</v>
      </c>
      <c r="M129">
        <v>11</v>
      </c>
      <c r="N129" t="s">
        <v>253</v>
      </c>
    </row>
    <row r="130" spans="1:14" x14ac:dyDescent="0.25">
      <c r="A130" t="s">
        <v>221</v>
      </c>
      <c r="B130" s="9">
        <v>45977</v>
      </c>
      <c r="C130" t="s">
        <v>108</v>
      </c>
      <c r="D130" t="s">
        <v>28</v>
      </c>
      <c r="E130" t="s">
        <v>16</v>
      </c>
      <c r="F130" s="3">
        <v>80000</v>
      </c>
      <c r="G130" s="4">
        <v>149.9</v>
      </c>
      <c r="H130" s="4">
        <v>11992000</v>
      </c>
      <c r="I130" t="s">
        <v>34</v>
      </c>
      <c r="J130" t="s">
        <v>96</v>
      </c>
      <c r="K130" t="s">
        <v>97</v>
      </c>
      <c r="L130">
        <v>2025</v>
      </c>
      <c r="M130">
        <v>11</v>
      </c>
      <c r="N130" t="s">
        <v>253</v>
      </c>
    </row>
    <row r="131" spans="1:14" x14ac:dyDescent="0.25">
      <c r="A131" t="s">
        <v>222</v>
      </c>
      <c r="B131" s="9">
        <v>45979</v>
      </c>
      <c r="C131" t="s">
        <v>99</v>
      </c>
      <c r="D131" t="s">
        <v>36</v>
      </c>
      <c r="E131" t="s">
        <v>17</v>
      </c>
      <c r="F131" s="3">
        <v>78112</v>
      </c>
      <c r="G131" s="4">
        <v>134.9</v>
      </c>
      <c r="H131" s="4">
        <v>10537308.800000001</v>
      </c>
      <c r="I131" t="s">
        <v>23</v>
      </c>
      <c r="J131" t="s">
        <v>65</v>
      </c>
      <c r="K131" t="s">
        <v>66</v>
      </c>
      <c r="L131">
        <v>2025</v>
      </c>
      <c r="M131">
        <v>11</v>
      </c>
      <c r="N131" t="s">
        <v>253</v>
      </c>
    </row>
    <row r="132" spans="1:14" x14ac:dyDescent="0.25">
      <c r="A132" t="s">
        <v>223</v>
      </c>
      <c r="B132" s="9">
        <v>45981</v>
      </c>
      <c r="C132" t="s">
        <v>68</v>
      </c>
      <c r="D132" t="s">
        <v>30</v>
      </c>
      <c r="E132" t="s">
        <v>18</v>
      </c>
      <c r="F132" s="3">
        <v>45889</v>
      </c>
      <c r="G132" s="4">
        <v>149.9</v>
      </c>
      <c r="H132" s="4">
        <v>6878761.1000000006</v>
      </c>
      <c r="I132" t="s">
        <v>26</v>
      </c>
      <c r="J132" t="s">
        <v>76</v>
      </c>
      <c r="K132" t="s">
        <v>77</v>
      </c>
      <c r="L132">
        <v>2025</v>
      </c>
      <c r="M132">
        <v>11</v>
      </c>
      <c r="N132" t="s">
        <v>253</v>
      </c>
    </row>
    <row r="133" spans="1:14" x14ac:dyDescent="0.25">
      <c r="A133" t="s">
        <v>224</v>
      </c>
      <c r="B133" s="9">
        <v>45981</v>
      </c>
      <c r="C133" t="s">
        <v>91</v>
      </c>
      <c r="D133" t="s">
        <v>39</v>
      </c>
      <c r="E133" t="s">
        <v>16</v>
      </c>
      <c r="F133" s="3">
        <v>45000</v>
      </c>
      <c r="G133" s="4">
        <v>179.9</v>
      </c>
      <c r="H133" s="4">
        <v>8095500</v>
      </c>
      <c r="I133" t="s">
        <v>26</v>
      </c>
      <c r="J133" t="s">
        <v>76</v>
      </c>
      <c r="K133" t="s">
        <v>77</v>
      </c>
      <c r="L133">
        <v>2025</v>
      </c>
      <c r="M133">
        <v>11</v>
      </c>
      <c r="N133" t="s">
        <v>253</v>
      </c>
    </row>
    <row r="134" spans="1:14" x14ac:dyDescent="0.25">
      <c r="A134" t="s">
        <v>225</v>
      </c>
      <c r="B134" s="9">
        <v>45985</v>
      </c>
      <c r="C134" t="s">
        <v>111</v>
      </c>
      <c r="D134" t="s">
        <v>7</v>
      </c>
      <c r="E134" t="s">
        <v>16</v>
      </c>
      <c r="F134" s="3">
        <v>75000</v>
      </c>
      <c r="G134" s="4">
        <v>249.9</v>
      </c>
      <c r="H134" s="4">
        <v>18742500</v>
      </c>
      <c r="I134" t="s">
        <v>34</v>
      </c>
      <c r="J134" t="s">
        <v>96</v>
      </c>
      <c r="K134" t="s">
        <v>97</v>
      </c>
      <c r="L134">
        <v>2025</v>
      </c>
      <c r="M134">
        <v>11</v>
      </c>
      <c r="N134" t="s">
        <v>253</v>
      </c>
    </row>
    <row r="135" spans="1:14" x14ac:dyDescent="0.25">
      <c r="A135" t="s">
        <v>226</v>
      </c>
      <c r="B135" s="9">
        <v>45985</v>
      </c>
      <c r="C135" t="s">
        <v>64</v>
      </c>
      <c r="D135" t="s">
        <v>25</v>
      </c>
      <c r="E135" t="s">
        <v>16</v>
      </c>
      <c r="F135" s="3">
        <v>120000</v>
      </c>
      <c r="G135" s="4">
        <v>289.89999999999998</v>
      </c>
      <c r="H135" s="4">
        <v>34788000</v>
      </c>
      <c r="I135" t="s">
        <v>40</v>
      </c>
      <c r="J135" t="s">
        <v>81</v>
      </c>
      <c r="K135" t="s">
        <v>82</v>
      </c>
      <c r="L135">
        <v>2025</v>
      </c>
      <c r="M135">
        <v>11</v>
      </c>
      <c r="N135" t="s">
        <v>253</v>
      </c>
    </row>
    <row r="136" spans="1:14" x14ac:dyDescent="0.25">
      <c r="A136" t="s">
        <v>227</v>
      </c>
      <c r="B136" s="9">
        <v>45986</v>
      </c>
      <c r="C136" t="s">
        <v>72</v>
      </c>
      <c r="D136" t="s">
        <v>33</v>
      </c>
      <c r="E136" t="s">
        <v>16</v>
      </c>
      <c r="F136" s="3">
        <v>80000</v>
      </c>
      <c r="G136" s="4">
        <v>129.9</v>
      </c>
      <c r="H136" s="4">
        <v>10392000</v>
      </c>
      <c r="I136" t="s">
        <v>26</v>
      </c>
      <c r="J136" t="s">
        <v>76</v>
      </c>
      <c r="K136" t="s">
        <v>77</v>
      </c>
      <c r="L136">
        <v>2025</v>
      </c>
      <c r="M136">
        <v>11</v>
      </c>
      <c r="N136" t="s">
        <v>253</v>
      </c>
    </row>
    <row r="137" spans="1:14" x14ac:dyDescent="0.25">
      <c r="A137" t="s">
        <v>228</v>
      </c>
      <c r="B137" s="9">
        <v>45986</v>
      </c>
      <c r="C137" t="s">
        <v>70</v>
      </c>
      <c r="D137" t="s">
        <v>46</v>
      </c>
      <c r="E137" t="s">
        <v>17</v>
      </c>
      <c r="F137" s="3">
        <v>78112</v>
      </c>
      <c r="G137" s="4">
        <v>74.900000000000006</v>
      </c>
      <c r="H137" s="4">
        <v>5850588.8000000007</v>
      </c>
      <c r="I137" t="s">
        <v>37</v>
      </c>
      <c r="J137" t="s">
        <v>85</v>
      </c>
      <c r="K137" t="s">
        <v>86</v>
      </c>
      <c r="L137">
        <v>2025</v>
      </c>
      <c r="M137">
        <v>11</v>
      </c>
      <c r="N137" t="s">
        <v>253</v>
      </c>
    </row>
    <row r="138" spans="1:14" x14ac:dyDescent="0.25">
      <c r="A138" t="s">
        <v>229</v>
      </c>
      <c r="B138" s="9">
        <v>45987</v>
      </c>
      <c r="C138" t="s">
        <v>91</v>
      </c>
      <c r="D138" t="s">
        <v>39</v>
      </c>
      <c r="E138" t="s">
        <v>16</v>
      </c>
      <c r="F138" s="3">
        <v>80000</v>
      </c>
      <c r="G138" s="4">
        <v>179.9</v>
      </c>
      <c r="H138" s="4">
        <v>14392000</v>
      </c>
      <c r="I138" t="s">
        <v>37</v>
      </c>
      <c r="J138" t="s">
        <v>85</v>
      </c>
      <c r="K138" t="s">
        <v>86</v>
      </c>
      <c r="L138">
        <v>2025</v>
      </c>
      <c r="M138">
        <v>11</v>
      </c>
      <c r="N138" t="s">
        <v>253</v>
      </c>
    </row>
    <row r="139" spans="1:14" x14ac:dyDescent="0.25">
      <c r="A139" t="s">
        <v>230</v>
      </c>
      <c r="B139" s="9">
        <v>45990</v>
      </c>
      <c r="C139" t="s">
        <v>70</v>
      </c>
      <c r="D139" t="s">
        <v>46</v>
      </c>
      <c r="E139" t="s">
        <v>17</v>
      </c>
      <c r="F139" s="3">
        <v>45000</v>
      </c>
      <c r="G139" s="4">
        <v>74.900000000000006</v>
      </c>
      <c r="H139" s="4">
        <v>3370500</v>
      </c>
      <c r="I139" t="s">
        <v>43</v>
      </c>
      <c r="J139" t="s">
        <v>88</v>
      </c>
      <c r="K139" t="s">
        <v>89</v>
      </c>
      <c r="L139">
        <v>2025</v>
      </c>
      <c r="M139">
        <v>11</v>
      </c>
      <c r="N139" t="s">
        <v>253</v>
      </c>
    </row>
    <row r="140" spans="1:14" x14ac:dyDescent="0.25">
      <c r="A140" t="s">
        <v>231</v>
      </c>
      <c r="B140" s="9">
        <v>45991</v>
      </c>
      <c r="C140" t="s">
        <v>64</v>
      </c>
      <c r="D140" t="s">
        <v>25</v>
      </c>
      <c r="E140" t="s">
        <v>16</v>
      </c>
      <c r="F140" s="3">
        <v>75000</v>
      </c>
      <c r="G140" s="4">
        <v>289.89999999999998</v>
      </c>
      <c r="H140" s="4">
        <v>21742500</v>
      </c>
      <c r="I140" t="s">
        <v>23</v>
      </c>
      <c r="J140" t="s">
        <v>65</v>
      </c>
      <c r="K140" t="s">
        <v>66</v>
      </c>
      <c r="L140">
        <v>2025</v>
      </c>
      <c r="M140">
        <v>11</v>
      </c>
      <c r="N140" t="s">
        <v>253</v>
      </c>
    </row>
    <row r="141" spans="1:14" x14ac:dyDescent="0.25">
      <c r="A141" t="s">
        <v>232</v>
      </c>
      <c r="B141" s="9">
        <v>45994</v>
      </c>
      <c r="C141" t="s">
        <v>94</v>
      </c>
      <c r="D141" t="s">
        <v>51</v>
      </c>
      <c r="E141" t="s">
        <v>18</v>
      </c>
      <c r="F141" s="3">
        <v>120000</v>
      </c>
      <c r="G141" s="4">
        <v>39.9</v>
      </c>
      <c r="H141" s="4">
        <v>4788000</v>
      </c>
      <c r="I141" t="s">
        <v>29</v>
      </c>
      <c r="J141" t="s">
        <v>65</v>
      </c>
      <c r="K141" t="s">
        <v>66</v>
      </c>
      <c r="L141">
        <v>2025</v>
      </c>
      <c r="M141">
        <v>12</v>
      </c>
      <c r="N141" t="s">
        <v>254</v>
      </c>
    </row>
    <row r="142" spans="1:14" x14ac:dyDescent="0.25">
      <c r="A142" t="s">
        <v>233</v>
      </c>
      <c r="B142" s="9">
        <v>45995</v>
      </c>
      <c r="C142" t="s">
        <v>106</v>
      </c>
      <c r="D142" t="s">
        <v>52</v>
      </c>
      <c r="E142" t="s">
        <v>18</v>
      </c>
      <c r="F142" s="3">
        <v>80000</v>
      </c>
      <c r="G142" s="4">
        <v>54.9</v>
      </c>
      <c r="H142" s="4">
        <v>4392000</v>
      </c>
      <c r="I142" t="s">
        <v>34</v>
      </c>
      <c r="J142" t="s">
        <v>96</v>
      </c>
      <c r="K142" t="s">
        <v>97</v>
      </c>
      <c r="L142">
        <v>2025</v>
      </c>
      <c r="M142">
        <v>12</v>
      </c>
      <c r="N142" t="s">
        <v>254</v>
      </c>
    </row>
    <row r="143" spans="1:14" x14ac:dyDescent="0.25">
      <c r="A143" t="s">
        <v>234</v>
      </c>
      <c r="B143" s="9">
        <v>46000</v>
      </c>
      <c r="C143" t="s">
        <v>91</v>
      </c>
      <c r="D143" t="s">
        <v>39</v>
      </c>
      <c r="E143" t="s">
        <v>16</v>
      </c>
      <c r="F143" s="3">
        <v>78112</v>
      </c>
      <c r="G143" s="4">
        <v>179.9</v>
      </c>
      <c r="H143" s="4">
        <v>14052348.800000001</v>
      </c>
      <c r="I143" t="s">
        <v>37</v>
      </c>
      <c r="J143" t="s">
        <v>85</v>
      </c>
      <c r="K143" t="s">
        <v>86</v>
      </c>
      <c r="L143">
        <v>2025</v>
      </c>
      <c r="M143">
        <v>12</v>
      </c>
      <c r="N143" t="s">
        <v>254</v>
      </c>
    </row>
    <row r="144" spans="1:14" x14ac:dyDescent="0.25">
      <c r="A144" t="s">
        <v>235</v>
      </c>
      <c r="B144" s="9">
        <v>46002</v>
      </c>
      <c r="C144" t="s">
        <v>72</v>
      </c>
      <c r="D144" t="s">
        <v>33</v>
      </c>
      <c r="E144" t="s">
        <v>16</v>
      </c>
      <c r="F144" s="3">
        <v>80000</v>
      </c>
      <c r="G144" s="4">
        <v>129.9</v>
      </c>
      <c r="H144" s="4">
        <v>10392000</v>
      </c>
      <c r="I144" t="s">
        <v>23</v>
      </c>
      <c r="J144" t="s">
        <v>65</v>
      </c>
      <c r="K144" t="s">
        <v>66</v>
      </c>
      <c r="L144">
        <v>2025</v>
      </c>
      <c r="M144">
        <v>12</v>
      </c>
      <c r="N144" t="s">
        <v>254</v>
      </c>
    </row>
    <row r="145" spans="1:14" x14ac:dyDescent="0.25">
      <c r="A145" t="s">
        <v>236</v>
      </c>
      <c r="B145" s="9">
        <v>46003</v>
      </c>
      <c r="C145" t="s">
        <v>80</v>
      </c>
      <c r="D145" t="s">
        <v>49</v>
      </c>
      <c r="E145" t="s">
        <v>18</v>
      </c>
      <c r="F145" s="3">
        <v>80000</v>
      </c>
      <c r="G145" s="4">
        <v>42.9</v>
      </c>
      <c r="H145" s="4">
        <v>3432000</v>
      </c>
      <c r="I145" t="s">
        <v>29</v>
      </c>
      <c r="J145" t="s">
        <v>65</v>
      </c>
      <c r="K145" t="s">
        <v>66</v>
      </c>
      <c r="L145">
        <v>2025</v>
      </c>
      <c r="M145">
        <v>12</v>
      </c>
      <c r="N145" t="s">
        <v>254</v>
      </c>
    </row>
    <row r="146" spans="1:14" x14ac:dyDescent="0.25">
      <c r="A146" t="s">
        <v>237</v>
      </c>
      <c r="B146" s="9">
        <v>46003</v>
      </c>
      <c r="C146" t="s">
        <v>136</v>
      </c>
      <c r="D146" t="s">
        <v>50</v>
      </c>
      <c r="E146" t="s">
        <v>17</v>
      </c>
      <c r="F146" s="3">
        <v>78112</v>
      </c>
      <c r="G146" s="4">
        <v>46.9</v>
      </c>
      <c r="H146" s="4">
        <v>3663452.8</v>
      </c>
      <c r="I146" t="s">
        <v>34</v>
      </c>
      <c r="J146" t="s">
        <v>96</v>
      </c>
      <c r="K146" t="s">
        <v>97</v>
      </c>
      <c r="L146">
        <v>2025</v>
      </c>
      <c r="M146">
        <v>12</v>
      </c>
      <c r="N146" t="s">
        <v>254</v>
      </c>
    </row>
    <row r="147" spans="1:14" x14ac:dyDescent="0.25">
      <c r="A147" t="s">
        <v>238</v>
      </c>
      <c r="B147" s="9">
        <v>46008</v>
      </c>
      <c r="C147" t="s">
        <v>84</v>
      </c>
      <c r="D147" t="s">
        <v>47</v>
      </c>
      <c r="E147" t="s">
        <v>17</v>
      </c>
      <c r="F147" s="3">
        <v>80000</v>
      </c>
      <c r="G147" s="4">
        <v>52.9</v>
      </c>
      <c r="H147" s="4">
        <v>4232000</v>
      </c>
      <c r="I147" t="s">
        <v>37</v>
      </c>
      <c r="J147" t="s">
        <v>85</v>
      </c>
      <c r="K147" t="s">
        <v>86</v>
      </c>
      <c r="L147">
        <v>2025</v>
      </c>
      <c r="M147">
        <v>12</v>
      </c>
      <c r="N147" t="s">
        <v>254</v>
      </c>
    </row>
    <row r="148" spans="1:14" x14ac:dyDescent="0.25">
      <c r="A148" t="s">
        <v>239</v>
      </c>
      <c r="B148" s="9">
        <v>46009</v>
      </c>
      <c r="C148" t="s">
        <v>64</v>
      </c>
      <c r="D148" t="s">
        <v>25</v>
      </c>
      <c r="E148" t="s">
        <v>16</v>
      </c>
      <c r="F148" s="3">
        <v>45000</v>
      </c>
      <c r="G148" s="4">
        <v>289.89999999999998</v>
      </c>
      <c r="H148" s="4">
        <v>13045500</v>
      </c>
      <c r="I148" t="s">
        <v>29</v>
      </c>
      <c r="J148" t="s">
        <v>65</v>
      </c>
      <c r="K148" t="s">
        <v>66</v>
      </c>
      <c r="L148">
        <v>2025</v>
      </c>
      <c r="M148">
        <v>12</v>
      </c>
      <c r="N148" t="s">
        <v>254</v>
      </c>
    </row>
    <row r="149" spans="1:14" x14ac:dyDescent="0.25">
      <c r="A149" t="s">
        <v>240</v>
      </c>
      <c r="B149" s="9">
        <v>46011</v>
      </c>
      <c r="C149" t="s">
        <v>130</v>
      </c>
      <c r="D149" t="s">
        <v>48</v>
      </c>
      <c r="E149" t="s">
        <v>16</v>
      </c>
      <c r="F149" s="3">
        <v>75000</v>
      </c>
      <c r="G149" s="4">
        <v>139.9</v>
      </c>
      <c r="H149" s="4">
        <v>10492500</v>
      </c>
      <c r="I149" t="s">
        <v>34</v>
      </c>
      <c r="J149" t="s">
        <v>96</v>
      </c>
      <c r="K149" t="s">
        <v>97</v>
      </c>
      <c r="L149">
        <v>2025</v>
      </c>
      <c r="M149">
        <v>12</v>
      </c>
      <c r="N149" t="s">
        <v>254</v>
      </c>
    </row>
    <row r="150" spans="1:14" x14ac:dyDescent="0.25">
      <c r="A150" t="s">
        <v>241</v>
      </c>
      <c r="B150" s="9">
        <v>46018</v>
      </c>
      <c r="C150" t="s">
        <v>99</v>
      </c>
      <c r="D150" t="s">
        <v>36</v>
      </c>
      <c r="E150" t="s">
        <v>17</v>
      </c>
      <c r="F150" s="3">
        <v>80000</v>
      </c>
      <c r="G150" s="4">
        <v>134.9</v>
      </c>
      <c r="H150" s="4">
        <v>10792000</v>
      </c>
      <c r="I150" t="s">
        <v>34</v>
      </c>
      <c r="J150" t="s">
        <v>96</v>
      </c>
      <c r="K150" t="s">
        <v>97</v>
      </c>
      <c r="L150">
        <v>2025</v>
      </c>
      <c r="M150">
        <v>12</v>
      </c>
      <c r="N150" t="s">
        <v>254</v>
      </c>
    </row>
    <row r="151" spans="1:14" x14ac:dyDescent="0.25">
      <c r="A151" t="s">
        <v>242</v>
      </c>
      <c r="B151" s="9">
        <v>46020</v>
      </c>
      <c r="C151" t="s">
        <v>64</v>
      </c>
      <c r="D151" t="s">
        <v>25</v>
      </c>
      <c r="E151" t="s">
        <v>16</v>
      </c>
      <c r="F151" s="3">
        <v>78112</v>
      </c>
      <c r="G151" s="4">
        <v>289.89999999999998</v>
      </c>
      <c r="H151" s="4">
        <v>22644668.800000001</v>
      </c>
      <c r="I151" t="s">
        <v>29</v>
      </c>
      <c r="J151" t="s">
        <v>65</v>
      </c>
      <c r="K151" t="s">
        <v>66</v>
      </c>
      <c r="L151">
        <v>2025</v>
      </c>
      <c r="M151">
        <v>12</v>
      </c>
      <c r="N151" t="s">
        <v>254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Dashboard Vendas_2025</vt:lpstr>
      <vt:lpstr>Recursos Visuais</vt:lpstr>
      <vt:lpstr>Tabelas Dinâmicas</vt:lpstr>
      <vt:lpstr>Base Tratada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Villa Buena</cp:lastModifiedBy>
  <dcterms:created xsi:type="dcterms:W3CDTF">2026-10-08T13:06:16Z</dcterms:created>
  <dcterms:modified xsi:type="dcterms:W3CDTF">2026-10-08T15:22:12Z</dcterms:modified>
</cp:coreProperties>
</file>